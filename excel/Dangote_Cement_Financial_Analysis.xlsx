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Pluz\Desktop\Data Projects\dangote-financial-analysis\"/>
    </mc:Choice>
  </mc:AlternateContent>
  <xr:revisionPtr revIDLastSave="0" documentId="8_{D03A99DB-CC78-47C9-A8BE-E28486F7D5C1}" xr6:coauthVersionLast="47" xr6:coauthVersionMax="47" xr10:uidLastSave="{00000000-0000-0000-0000-000000000000}"/>
  <bookViews>
    <workbookView xWindow="-108" yWindow="-108" windowWidth="23256" windowHeight="12456" activeTab="3" xr2:uid="{4382AF6B-ED36-41F7-9E3A-8E84BBEF2A53}"/>
  </bookViews>
  <sheets>
    <sheet name="P&amp;L Input" sheetId="1" r:id="rId1"/>
    <sheet name="Balance Sheet Input" sheetId="2" r:id="rId2"/>
    <sheet name="Forecast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61" i="4" l="1"/>
  <c r="AB62" i="4"/>
  <c r="AA56" i="4"/>
  <c r="AA57" i="4"/>
  <c r="AA58" i="4"/>
  <c r="AA59" i="4"/>
  <c r="AA60" i="4"/>
  <c r="AB60" i="4" s="1"/>
  <c r="AG49" i="4"/>
  <c r="AF49" i="4"/>
  <c r="AB49" i="4"/>
  <c r="AC49" i="4"/>
  <c r="AD49" i="4"/>
  <c r="AE49" i="4"/>
  <c r="AA49" i="4"/>
  <c r="AB48" i="4"/>
  <c r="AC48" i="4"/>
  <c r="AD48" i="4"/>
  <c r="AE48" i="4"/>
  <c r="AA48" i="4"/>
  <c r="AB47" i="4"/>
  <c r="AC47" i="4"/>
  <c r="AD47" i="4"/>
  <c r="AE47" i="4"/>
  <c r="AA47" i="4"/>
  <c r="AG46" i="4"/>
  <c r="AF46" i="4"/>
  <c r="AB46" i="4"/>
  <c r="AC46" i="4"/>
  <c r="AD46" i="4"/>
  <c r="AE46" i="4"/>
  <c r="AA46" i="4"/>
  <c r="D9" i="3" l="1"/>
  <c r="D8" i="3"/>
  <c r="D7" i="3"/>
  <c r="D6" i="3"/>
  <c r="D5" i="3"/>
  <c r="C9" i="3"/>
  <c r="C8" i="3"/>
  <c r="C7" i="3"/>
  <c r="C6" i="3"/>
  <c r="C5" i="3"/>
  <c r="F9" i="3" l="1"/>
  <c r="C16" i="3"/>
  <c r="C17" i="3"/>
  <c r="E6" i="3"/>
  <c r="E8" i="3"/>
  <c r="F7" i="3"/>
  <c r="F6" i="3"/>
  <c r="F8" i="3"/>
  <c r="E9" i="3"/>
  <c r="E7" i="3"/>
  <c r="D11" i="3" l="1"/>
  <c r="D16" i="3" s="1"/>
  <c r="E16" i="3" s="1"/>
  <c r="D12" i="3"/>
  <c r="F16" i="3" s="1"/>
  <c r="F17" i="3" s="1"/>
  <c r="D48" i="2"/>
  <c r="E48" i="2"/>
  <c r="F48" i="2"/>
  <c r="G48" i="2"/>
  <c r="C48" i="2"/>
  <c r="D17" i="3" l="1"/>
  <c r="E17" i="3" s="1"/>
  <c r="D24" i="1"/>
  <c r="E24" i="1"/>
  <c r="F24" i="1"/>
  <c r="G24" i="1"/>
  <c r="C24" i="1"/>
  <c r="D26" i="1"/>
  <c r="E26" i="1"/>
  <c r="F26" i="1"/>
  <c r="G26" i="1"/>
  <c r="C26" i="1"/>
  <c r="D25" i="1"/>
  <c r="E25" i="1"/>
  <c r="F25" i="1"/>
  <c r="G25" i="1"/>
  <c r="C25" i="1"/>
  <c r="D47" i="2"/>
  <c r="E47" i="2"/>
  <c r="F47" i="2"/>
  <c r="G47" i="2"/>
  <c r="C47" i="2"/>
  <c r="D44" i="2"/>
  <c r="E44" i="2"/>
  <c r="F44" i="2"/>
  <c r="G44" i="2"/>
  <c r="C44" i="2"/>
  <c r="D43" i="2"/>
  <c r="E43" i="2"/>
  <c r="F43" i="2"/>
  <c r="F45" i="2" s="1"/>
  <c r="G43" i="2"/>
  <c r="C43" i="2"/>
  <c r="D42" i="2"/>
  <c r="E42" i="2"/>
  <c r="F42" i="2"/>
  <c r="G42" i="2"/>
  <c r="C42" i="2"/>
  <c r="G45" i="2"/>
  <c r="D41" i="2"/>
  <c r="E41" i="2"/>
  <c r="F41" i="2"/>
  <c r="G41" i="2"/>
  <c r="C41" i="2"/>
  <c r="D40" i="2"/>
  <c r="E40" i="2"/>
  <c r="F40" i="2"/>
  <c r="G40" i="2"/>
  <c r="C40" i="2"/>
  <c r="E45" i="2" l="1"/>
  <c r="D45" i="2"/>
  <c r="C45" i="2"/>
  <c r="E33" i="2" l="1"/>
  <c r="E20" i="2"/>
  <c r="G36" i="2"/>
  <c r="D26" i="2"/>
  <c r="D33" i="2" s="1"/>
  <c r="D36" i="2" s="1"/>
  <c r="E26" i="2"/>
  <c r="F26" i="2"/>
  <c r="F33" i="2" s="1"/>
  <c r="F36" i="2" s="1"/>
  <c r="G26" i="2"/>
  <c r="G33" i="2" s="1"/>
  <c r="C26" i="2"/>
  <c r="C33" i="2" s="1"/>
  <c r="C36" i="2" s="1"/>
  <c r="D10" i="2"/>
  <c r="D20" i="2" s="1"/>
  <c r="E10" i="2"/>
  <c r="F10" i="2"/>
  <c r="F20" i="2" s="1"/>
  <c r="G10" i="2"/>
  <c r="G20" i="2" s="1"/>
  <c r="C10" i="2"/>
  <c r="C20" i="2" s="1"/>
  <c r="D23" i="1"/>
  <c r="E23" i="1"/>
  <c r="F23" i="1"/>
  <c r="G23" i="1"/>
  <c r="C23" i="1"/>
  <c r="E22" i="1"/>
  <c r="C22" i="1"/>
  <c r="E21" i="1"/>
  <c r="F21" i="1"/>
  <c r="G21" i="1"/>
  <c r="D21" i="1"/>
  <c r="D6" i="1"/>
  <c r="D11" i="1" s="1"/>
  <c r="D16" i="1" s="1"/>
  <c r="D18" i="1" s="1"/>
  <c r="E6" i="1"/>
  <c r="E11" i="1" s="1"/>
  <c r="E16" i="1" s="1"/>
  <c r="E18" i="1" s="1"/>
  <c r="F6" i="1"/>
  <c r="F11" i="1" s="1"/>
  <c r="F16" i="1" s="1"/>
  <c r="F18" i="1" s="1"/>
  <c r="G6" i="1"/>
  <c r="G11" i="1" s="1"/>
  <c r="G16" i="1" s="1"/>
  <c r="G18" i="1" s="1"/>
  <c r="C6" i="1"/>
  <c r="C11" i="1" s="1"/>
  <c r="C16" i="1" s="1"/>
  <c r="C18" i="1" s="1"/>
  <c r="E36" i="2" l="1"/>
  <c r="D22" i="1"/>
  <c r="G22" i="1"/>
  <c r="F22" i="1"/>
</calcChain>
</file>

<file path=xl/sharedStrings.xml><?xml version="1.0" encoding="utf-8"?>
<sst xmlns="http://schemas.openxmlformats.org/spreadsheetml/2006/main" count="132" uniqueCount="115">
  <si>
    <t>Revenue</t>
  </si>
  <si>
    <t>Production cost of sales</t>
  </si>
  <si>
    <t>Gross profit</t>
  </si>
  <si>
    <t>Administrative expenses</t>
  </si>
  <si>
    <t>Selling and distribution expenses</t>
  </si>
  <si>
    <t>Other income</t>
  </si>
  <si>
    <t>Impairment of financial assets</t>
  </si>
  <si>
    <t>Finance income</t>
  </si>
  <si>
    <t>Finance costs</t>
  </si>
  <si>
    <t>Gain on net monetary position</t>
  </si>
  <si>
    <t>Share of profit from associate</t>
  </si>
  <si>
    <t>Income tax expense</t>
  </si>
  <si>
    <t>P&amp;L Input</t>
  </si>
  <si>
    <t>EBIT (Operating income)</t>
  </si>
  <si>
    <t>EBT (Income before tax)</t>
  </si>
  <si>
    <t>Net income</t>
  </si>
  <si>
    <t>KPIs</t>
  </si>
  <si>
    <t>EBIT %</t>
  </si>
  <si>
    <t>Net Income %</t>
  </si>
  <si>
    <t>ROA</t>
  </si>
  <si>
    <t>ROE</t>
  </si>
  <si>
    <t>31 Dec
2021</t>
  </si>
  <si>
    <t>31 Dec
2022</t>
  </si>
  <si>
    <t>31 Dec
2023</t>
  </si>
  <si>
    <t>31 Dec
2024</t>
  </si>
  <si>
    <t xml:space="preserve"> 31 Dec
2025</t>
  </si>
  <si>
    <t>(in ₦'millions)</t>
  </si>
  <si>
    <t>Revenue % y-o-y</t>
  </si>
  <si>
    <t>Balance Sheet Input</t>
  </si>
  <si>
    <t>Property, plant and equipment</t>
  </si>
  <si>
    <t>Intangible assets</t>
  </si>
  <si>
    <t>Right-of-use assets</t>
  </si>
  <si>
    <t>Investments in subsidiaries</t>
  </si>
  <si>
    <t>Investment in associate</t>
  </si>
  <si>
    <t>Lease receivables</t>
  </si>
  <si>
    <t>Deferred tax assets</t>
  </si>
  <si>
    <t>Prepayments</t>
  </si>
  <si>
    <t>Receivables from related parties</t>
  </si>
  <si>
    <t>Inventories</t>
  </si>
  <si>
    <t>Trade and other receivables</t>
  </si>
  <si>
    <t>Prepayments and other current assets</t>
  </si>
  <si>
    <t>Current tax assets</t>
  </si>
  <si>
    <t>Cash and cash equivalents</t>
  </si>
  <si>
    <t>Total current assets</t>
  </si>
  <si>
    <t>Total assets</t>
  </si>
  <si>
    <t>Trade and other payables</t>
  </si>
  <si>
    <t>Lease liabilities</t>
  </si>
  <si>
    <t>Current tax liabilities</t>
  </si>
  <si>
    <t>Financial liabilities</t>
  </si>
  <si>
    <t>Other current liabilities</t>
  </si>
  <si>
    <t>Total current liabilities</t>
  </si>
  <si>
    <t>Deferred tax liabilities</t>
  </si>
  <si>
    <t>Provisions</t>
  </si>
  <si>
    <t>Deferred revenue</t>
  </si>
  <si>
    <t>Employee benefit obligations</t>
  </si>
  <si>
    <t>Total liabilities</t>
  </si>
  <si>
    <t>Non-controlling interest</t>
  </si>
  <si>
    <t>Total equity and liabilities</t>
  </si>
  <si>
    <t>Total stockholders' equity</t>
  </si>
  <si>
    <t>Liquidity ratios</t>
  </si>
  <si>
    <t>Quick ratio</t>
  </si>
  <si>
    <t>Current ratio</t>
  </si>
  <si>
    <t>DSO</t>
  </si>
  <si>
    <t>DIO</t>
  </si>
  <si>
    <t>DPO</t>
  </si>
  <si>
    <t>Net Trading Cycle</t>
  </si>
  <si>
    <t>Solvency ratios</t>
  </si>
  <si>
    <t>Debt ratio</t>
  </si>
  <si>
    <t>Interest coverage ratio</t>
  </si>
  <si>
    <t>Dangote Cement Group — Revenue &amp; Net Income Forecast</t>
  </si>
  <si>
    <t>HISTORICAL DATA</t>
  </si>
  <si>
    <t>Year</t>
  </si>
  <si>
    <t>Revenue (₦'m)</t>
  </si>
  <si>
    <t>Revenue Growth %</t>
  </si>
  <si>
    <t>Net Income (₦'m)</t>
  </si>
  <si>
    <t>Net Income Growth %</t>
  </si>
  <si>
    <t>Average Revenue Growth (2021–2025)</t>
  </si>
  <si>
    <t>Average Net Income Growth (2021–2025)</t>
  </si>
  <si>
    <t>FORECAST (2026–2027)</t>
  </si>
  <si>
    <t>Method 1 — FORECAST.LINEAR (₦'m)</t>
  </si>
  <si>
    <t>Method 2 — Avg Growth Rate (₦'m)</t>
  </si>
  <si>
    <t>Blended Forecast (₦'m)</t>
  </si>
  <si>
    <t>Net Income Forecast — Avg Growth (₦'m)</t>
  </si>
  <si>
    <t xml:space="preserve">     Excel's linear regression across all 5 historical </t>
  </si>
  <si>
    <t xml:space="preserve">     data points (2021–2025).</t>
  </si>
  <si>
    <t xml:space="preserve">     annual revenue growth rate consistently forward </t>
  </si>
  <si>
    <t xml:space="preserve">     from the 2025 base year.</t>
  </si>
  <si>
    <t xml:space="preserve">     to reduce single-method bias.</t>
  </si>
  <si>
    <t xml:space="preserve">     current business conditions. Significant macro </t>
  </si>
  <si>
    <t xml:space="preserve">     changes (FX volatility, fuel prices, regulatory </t>
  </si>
  <si>
    <t xml:space="preserve">     shifts) may materially affect outcomes.</t>
  </si>
  <si>
    <t xml:space="preserve">     Reports 2021–2025</t>
  </si>
  <si>
    <t>FORECAST ASSUMPTIONS &amp; METHODOLOGY</t>
  </si>
  <si>
    <t xml:space="preserve">Method 1 — FORECAST.LINEAR projects revenue using </t>
  </si>
  <si>
    <t xml:space="preserve">Method 2 — Average Growth Rate applies the mean </t>
  </si>
  <si>
    <t xml:space="preserve">Blended Forecast — simple average of both methods </t>
  </si>
  <si>
    <t xml:space="preserve">Key assumption — forecasts assume continuation of </t>
  </si>
  <si>
    <t xml:space="preserve">Data source — Dangote Cement Plc Group Annual </t>
  </si>
  <si>
    <t>Analyst — Nwankwo Emmanuel</t>
  </si>
  <si>
    <t>REVENUE TREND + FORECAST (2021-2027)</t>
  </si>
  <si>
    <t>REVENUE TREND</t>
  </si>
  <si>
    <t>Actual Revenue</t>
  </si>
  <si>
    <t>Forecasted Revenue</t>
  </si>
  <si>
    <t>PROFITABILITY MARGINS (2021-2025)</t>
  </si>
  <si>
    <t>Gross Profit %</t>
  </si>
  <si>
    <t>KEY FINANCIAL METRICS SUMMARY</t>
  </si>
  <si>
    <t>DANGOTE CEMENT PLC GROUP — FINANCIAL PERFORMANCE &amp; FORECAST DASHBOARD</t>
  </si>
  <si>
    <t>Source: Dangote Cement Plc Group Annual Reports 2021–2025  |  Analyst: Nwankwo Emmanuel  |  github.com/Emmapluz</t>
  </si>
  <si>
    <t>KEY FINDINGS &amp; STRATEGIC INSIGHTS</t>
  </si>
  <si>
    <t>Metric</t>
  </si>
  <si>
    <t>EBIT (₦'m)</t>
  </si>
  <si>
    <t>Gross Profit (₦'m)</t>
  </si>
  <si>
    <t>not forecast</t>
  </si>
  <si>
    <t xml:space="preserve">Data source: Dangote Cement Plc Group Annual Reports 2021–2025 </t>
  </si>
  <si>
    <t>| Nigerian Exchange Group (NGX)  |  Analyst: Nwankwo Emmanuel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</si>
</sst>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_);@_)"/>
    <numFmt numFmtId="165" formatCode="_(* #,##0_);_(* \(#,##0\);_(* &quot;-&quot;??_);_(@_)"/>
    <numFmt numFmtId="166" formatCode="0.00&quot;x&quot;;[Red]\(0.00&quot;x&quot;\);&quot;0.00x&quot;;@"/>
    <numFmt numFmtId="167" formatCode="0.0%"/>
    <numFmt numFmtId="174" formatCode="0.00&quot;tn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  <font>
      <b/>
      <sz val="14"/>
      <color rgb="FF1A6B5A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 tint="0.3499862666707357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AEED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8" fillId="0" borderId="0">
      <alignment vertical="top"/>
    </xf>
    <xf numFmtId="43" fontId="9" fillId="0" borderId="0">
      <alignment vertical="top"/>
    </xf>
    <xf numFmtId="9" fontId="9" fillId="0" borderId="0">
      <alignment vertical="top"/>
    </xf>
  </cellStyleXfs>
  <cellXfs count="5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right" wrapText="1"/>
    </xf>
    <xf numFmtId="0" fontId="3" fillId="2" borderId="2" xfId="0" applyFont="1" applyFill="1" applyBorder="1"/>
    <xf numFmtId="0" fontId="3" fillId="2" borderId="3" xfId="0" applyFont="1" applyFill="1" applyBorder="1"/>
    <xf numFmtId="164" fontId="2" fillId="2" borderId="0" xfId="0" applyNumberFormat="1" applyFont="1" applyFill="1"/>
    <xf numFmtId="164" fontId="3" fillId="2" borderId="2" xfId="0" applyNumberFormat="1" applyFont="1" applyFill="1" applyBorder="1"/>
    <xf numFmtId="164" fontId="3" fillId="2" borderId="3" xfId="0" applyNumberFormat="1" applyFont="1" applyFill="1" applyBorder="1"/>
    <xf numFmtId="0" fontId="5" fillId="2" borderId="0" xfId="2" applyFont="1" applyFill="1">
      <alignment vertical="top"/>
    </xf>
    <xf numFmtId="165" fontId="2" fillId="2" borderId="0" xfId="0" applyNumberFormat="1" applyFont="1" applyFill="1"/>
    <xf numFmtId="165" fontId="3" fillId="2" borderId="2" xfId="0" applyNumberFormat="1" applyFont="1" applyFill="1" applyBorder="1"/>
    <xf numFmtId="165" fontId="3" fillId="2" borderId="3" xfId="0" applyNumberFormat="1" applyFont="1" applyFill="1" applyBorder="1"/>
    <xf numFmtId="165" fontId="3" fillId="2" borderId="0" xfId="0" applyNumberFormat="1" applyFont="1" applyFill="1"/>
    <xf numFmtId="0" fontId="6" fillId="3" borderId="0" xfId="2" applyFont="1" applyFill="1" applyAlignment="1"/>
    <xf numFmtId="165" fontId="7" fillId="3" borderId="0" xfId="0" applyNumberFormat="1" applyFont="1" applyFill="1"/>
    <xf numFmtId="0" fontId="7" fillId="3" borderId="0" xfId="2" applyFont="1" applyFill="1" applyAlignment="1"/>
    <xf numFmtId="2" fontId="7" fillId="3" borderId="0" xfId="0" applyNumberFormat="1" applyFont="1" applyFill="1"/>
    <xf numFmtId="0" fontId="6" fillId="3" borderId="0" xfId="0" applyFont="1" applyFill="1"/>
    <xf numFmtId="0" fontId="7" fillId="3" borderId="0" xfId="0" applyFont="1" applyFill="1"/>
    <xf numFmtId="9" fontId="7" fillId="3" borderId="0" xfId="1" applyFont="1" applyFill="1" applyBorder="1"/>
    <xf numFmtId="166" fontId="7" fillId="3" borderId="0" xfId="0" applyNumberFormat="1" applyFont="1" applyFill="1"/>
    <xf numFmtId="0" fontId="3" fillId="2" borderId="1" xfId="0" applyFont="1" applyFill="1" applyBorder="1" applyAlignment="1">
      <alignment wrapText="1"/>
    </xf>
    <xf numFmtId="167" fontId="2" fillId="2" borderId="0" xfId="1" applyNumberFormat="1" applyFont="1" applyFill="1"/>
    <xf numFmtId="167" fontId="3" fillId="2" borderId="0" xfId="0" applyNumberFormat="1" applyFont="1" applyFill="1"/>
    <xf numFmtId="0" fontId="2" fillId="2" borderId="2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1" xfId="0" applyFont="1" applyFill="1" applyBorder="1"/>
    <xf numFmtId="0" fontId="2" fillId="2" borderId="9" xfId="0" applyFont="1" applyFill="1" applyBorder="1"/>
    <xf numFmtId="0" fontId="3" fillId="2" borderId="4" xfId="0" applyFont="1" applyFill="1" applyBorder="1"/>
    <xf numFmtId="0" fontId="2" fillId="2" borderId="0" xfId="0" applyFont="1" applyFill="1" applyAlignment="1">
      <alignment horizontal="left" wrapText="1"/>
    </xf>
    <xf numFmtId="0" fontId="3" fillId="2" borderId="1" xfId="0" applyFont="1" applyFill="1" applyBorder="1"/>
    <xf numFmtId="0" fontId="3" fillId="2" borderId="1" xfId="0" applyFont="1" applyFill="1" applyBorder="1" applyAlignment="1"/>
    <xf numFmtId="0" fontId="2" fillId="4" borderId="0" xfId="0" applyFont="1" applyFill="1"/>
    <xf numFmtId="0" fontId="3" fillId="4" borderId="0" xfId="0" applyFont="1" applyFill="1"/>
    <xf numFmtId="0" fontId="10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4" borderId="0" xfId="0" applyFont="1" applyFill="1" applyBorder="1" applyAlignment="1">
      <alignment wrapText="1"/>
    </xf>
    <xf numFmtId="0" fontId="12" fillId="2" borderId="0" xfId="0" applyFont="1" applyFill="1"/>
    <xf numFmtId="164" fontId="12" fillId="5" borderId="0" xfId="0" applyNumberFormat="1" applyFont="1" applyFill="1" applyAlignment="1">
      <alignment horizontal="right"/>
    </xf>
    <xf numFmtId="164" fontId="12" fillId="6" borderId="0" xfId="0" applyNumberFormat="1" applyFont="1" applyFill="1" applyAlignment="1">
      <alignment horizontal="right"/>
    </xf>
    <xf numFmtId="164" fontId="13" fillId="2" borderId="0" xfId="0" applyNumberFormat="1" applyFont="1" applyFill="1" applyAlignment="1">
      <alignment horizontal="right"/>
    </xf>
    <xf numFmtId="0" fontId="11" fillId="5" borderId="10" xfId="0" applyFont="1" applyFill="1" applyBorder="1" applyAlignment="1">
      <alignment wrapText="1"/>
    </xf>
    <xf numFmtId="0" fontId="11" fillId="5" borderId="10" xfId="0" applyFont="1" applyFill="1" applyBorder="1" applyAlignment="1">
      <alignment horizontal="center" wrapText="1"/>
    </xf>
    <xf numFmtId="0" fontId="11" fillId="6" borderId="10" xfId="0" applyFont="1" applyFill="1" applyBorder="1" applyAlignment="1">
      <alignment horizontal="center" wrapText="1"/>
    </xf>
    <xf numFmtId="0" fontId="12" fillId="2" borderId="1" xfId="0" applyFont="1" applyFill="1" applyBorder="1"/>
    <xf numFmtId="164" fontId="13" fillId="2" borderId="1" xfId="0" applyNumberFormat="1" applyFont="1" applyFill="1" applyBorder="1" applyAlignment="1">
      <alignment horizontal="right"/>
    </xf>
    <xf numFmtId="164" fontId="12" fillId="5" borderId="1" xfId="0" applyNumberFormat="1" applyFont="1" applyFill="1" applyBorder="1" applyAlignment="1">
      <alignment horizontal="right"/>
    </xf>
    <xf numFmtId="164" fontId="12" fillId="6" borderId="1" xfId="0" applyNumberFormat="1" applyFont="1" applyFill="1" applyBorder="1" applyAlignment="1">
      <alignment horizontal="right"/>
    </xf>
    <xf numFmtId="0" fontId="7" fillId="4" borderId="0" xfId="0" applyFont="1" applyFill="1"/>
    <xf numFmtId="174" fontId="2" fillId="2" borderId="0" xfId="0" applyNumberFormat="1" applyFont="1" applyFill="1"/>
  </cellXfs>
  <cellStyles count="5">
    <cellStyle name="Comma 2" xfId="3" xr:uid="{386E5A1A-D77C-4821-AEFF-D630468D3C97}"/>
    <cellStyle name="Normal" xfId="0" builtinId="0"/>
    <cellStyle name="Normal 2" xfId="2" xr:uid="{B02000B3-BA73-438A-94BB-370B1209CE88}"/>
    <cellStyle name="Percent" xfId="1" builtinId="5"/>
    <cellStyle name="Percent 2" xfId="4" xr:uid="{1E5356BB-1D5C-4053-B201-225B48FD02EC}"/>
  </cellStyles>
  <dxfs count="0"/>
  <tableStyles count="0" defaultTableStyle="TableStyleMedium2" defaultPivotStyle="PivotStyleLight16"/>
  <colors>
    <mruColors>
      <color rgb="FF1A6B5A"/>
      <color rgb="FFFAEEDA"/>
      <color rgb="FFE6F1FB"/>
      <color rgb="FFE1F5EE"/>
      <color rgb="FFF5F5F5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Dashboard!$AA$55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Dashboard!$Z$56:$Z$62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Dashboard!$AA$56:$AA$62</c:f>
              <c:numCache>
                <c:formatCode>0.00"tn"</c:formatCode>
                <c:ptCount val="7"/>
                <c:pt idx="0">
                  <c:v>1.383637</c:v>
                </c:pt>
                <c:pt idx="1">
                  <c:v>1.618323</c:v>
                </c:pt>
                <c:pt idx="2">
                  <c:v>2.2080899999999999</c:v>
                </c:pt>
                <c:pt idx="3">
                  <c:v>3.5805500000000001</c:v>
                </c:pt>
                <c:pt idx="4">
                  <c:v>4.3067039999999999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A-4F1F-BF2F-528B73404CD9}"/>
            </c:ext>
          </c:extLst>
        </c:ser>
        <c:ser>
          <c:idx val="1"/>
          <c:order val="1"/>
          <c:tx>
            <c:strRef>
              <c:f>Dashboard!$AB$55</c:f>
              <c:strCache>
                <c:ptCount val="1"/>
                <c:pt idx="0">
                  <c:v>Forecasted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B0A-4F1F-BF2F-528B73404C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Dashboard!$Z$56:$Z$62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cat>
          <c:val>
            <c:numRef>
              <c:f>Dashboard!$AB$56:$AB$62</c:f>
              <c:numCache>
                <c:formatCode>General</c:formatCode>
                <c:ptCount val="7"/>
                <c:pt idx="4" formatCode="0.00&quot;tn&quot;">
                  <c:v>4.3067039999999999</c:v>
                </c:pt>
                <c:pt idx="5" formatCode="0.00&quot;tn&quot;">
                  <c:v>5.3656209287983305</c:v>
                </c:pt>
                <c:pt idx="6" formatCode="0.00&quot;tn&quot;">
                  <c:v>6.1949364617033522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0A-4F1F-BF2F-528B73404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593856"/>
        <c:axId val="620604896"/>
      </c:lineChart>
      <c:catAx>
        <c:axId val="6205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0604896"/>
        <c:crosses val="autoZero"/>
        <c:auto val="1"/>
        <c:lblAlgn val="ctr"/>
        <c:lblOffset val="100"/>
        <c:noMultiLvlLbl val="0"/>
      </c:catAx>
      <c:valAx>
        <c:axId val="620604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AU"/>
                  <a:t>Revenue (₦'trillion)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0593856"/>
        <c:crosses val="autoZero"/>
        <c:crossBetween val="between"/>
        <c:majorUnit val="2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'P&amp;L Input'!$B$22</c:f>
              <c:strCache>
                <c:ptCount val="1"/>
                <c:pt idx="0">
                  <c:v>Gross Profit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Forecast!$B$5:$B$9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'P&amp;L Input'!$C$22:$G$22</c:f>
              <c:numCache>
                <c:formatCode>0%</c:formatCode>
                <c:ptCount val="5"/>
                <c:pt idx="0">
                  <c:v>0.60176043283028713</c:v>
                </c:pt>
                <c:pt idx="1">
                  <c:v>0.59038461419630073</c:v>
                </c:pt>
                <c:pt idx="2">
                  <c:v>0.54427672785076697</c:v>
                </c:pt>
                <c:pt idx="3">
                  <c:v>0.54039155995587274</c:v>
                </c:pt>
                <c:pt idx="4">
                  <c:v>0.62049167994828525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00-4D21-9ACF-13256CB12D4C}"/>
            </c:ext>
          </c:extLst>
        </c:ser>
        <c:ser>
          <c:idx val="1"/>
          <c:order val="1"/>
          <c:tx>
            <c:strRef>
              <c:f>'P&amp;L Input'!$B$23</c:f>
              <c:strCache>
                <c:ptCount val="1"/>
                <c:pt idx="0">
                  <c:v>EBIT 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Forecast!$B$5:$B$9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'P&amp;L Input'!$C$23:$G$23</c:f>
              <c:numCache>
                <c:formatCode>0%</c:formatCode>
                <c:ptCount val="5"/>
                <c:pt idx="0">
                  <c:v>0.42098541741800777</c:v>
                </c:pt>
                <c:pt idx="1">
                  <c:v>0.36202661644183515</c:v>
                </c:pt>
                <c:pt idx="2">
                  <c:v>0.33253490573300909</c:v>
                </c:pt>
                <c:pt idx="3">
                  <c:v>0.3217500104732513</c:v>
                </c:pt>
                <c:pt idx="4">
                  <c:v>0.40989048701745001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00-4D21-9ACF-13256CB12D4C}"/>
            </c:ext>
          </c:extLst>
        </c:ser>
        <c:ser>
          <c:idx val="2"/>
          <c:order val="2"/>
          <c:tx>
            <c:strRef>
              <c:f>'P&amp;L Input'!$B$24</c:f>
              <c:strCache>
                <c:ptCount val="1"/>
                <c:pt idx="0">
                  <c:v>Net Income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Forecast!$B$5:$B$9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'P&amp;L Input'!$C$24:$G$24</c:f>
              <c:numCache>
                <c:formatCode>0%</c:formatCode>
                <c:ptCount val="5"/>
                <c:pt idx="0">
                  <c:v>0.26339206020076072</c:v>
                </c:pt>
                <c:pt idx="1">
                  <c:v>0.23623899555280373</c:v>
                </c:pt>
                <c:pt idx="2">
                  <c:v>0.20632447046995367</c:v>
                </c:pt>
                <c:pt idx="3">
                  <c:v>0.14055019480247449</c:v>
                </c:pt>
                <c:pt idx="4">
                  <c:v>0.23566072801845681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00-4D21-9ACF-13256CB12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0575616"/>
        <c:axId val="620595776"/>
      </c:lineChart>
      <c:catAx>
        <c:axId val="62057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3">
                  <a:lumMod val="40000"/>
                  <a:lumOff val="6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0595776"/>
        <c:crosses val="autoZero"/>
        <c:auto val="1"/>
        <c:lblAlgn val="ctr"/>
        <c:lblOffset val="100"/>
        <c:noMultiLvlLbl val="0"/>
      </c:catAx>
      <c:valAx>
        <c:axId val="62059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40000"/>
                  <a:lumOff val="60000"/>
                  <a:alpha val="2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205756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3</xdr:col>
      <xdr:colOff>1249680</xdr:colOff>
      <xdr:row>19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D12A0-661A-48E6-8EB1-E1D572543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5</xdr:row>
      <xdr:rowOff>0</xdr:rowOff>
    </xdr:from>
    <xdr:to>
      <xdr:col>7</xdr:col>
      <xdr:colOff>1234440</xdr:colOff>
      <xdr:row>19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3D5DA6-3747-4C2E-AC8C-918262F81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167640</xdr:colOff>
      <xdr:row>20</xdr:row>
      <xdr:rowOff>19050</xdr:rowOff>
    </xdr:from>
    <xdr:to>
      <xdr:col>2</xdr:col>
      <xdr:colOff>1135380</xdr:colOff>
      <xdr:row>26</xdr:row>
      <xdr:rowOff>60960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5DBA52D-65BB-C875-3C05-345EBF006789}"/>
            </a:ext>
          </a:extLst>
        </xdr:cNvPr>
        <xdr:cNvSpPr/>
      </xdr:nvSpPr>
      <xdr:spPr>
        <a:xfrm>
          <a:off x="167640" y="2983230"/>
          <a:ext cx="2468880" cy="910590"/>
        </a:xfrm>
        <a:prstGeom prst="roundRect">
          <a:avLst/>
        </a:prstGeom>
        <a:solidFill>
          <a:srgbClr val="E1F5EE"/>
        </a:solidFill>
        <a:ln>
          <a:solidFill>
            <a:srgbClr val="1A6B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2025 REVENUE</a:t>
          </a:r>
          <a:br>
            <a:rPr lang="en-AU" sz="10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</a:br>
          <a:endParaRPr lang="en-AU" sz="10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AU" sz="1100" b="1" i="0">
              <a:solidFill>
                <a:srgbClr val="1A6B5A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₦4,307bn</a:t>
          </a:r>
        </a:p>
        <a:p>
          <a:r>
            <a:rPr lang="en-AU" sz="900" b="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 ₦3,581bn in 2024</a:t>
          </a:r>
        </a:p>
        <a:p>
          <a:r>
            <a:rPr lang="en-AU" sz="900" b="0" i="0">
              <a:solidFill>
                <a:srgbClr val="1A6B5A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↑ 20.3% YoY</a:t>
          </a:r>
        </a:p>
      </xdr:txBody>
    </xdr:sp>
    <xdr:clientData/>
  </xdr:twoCellAnchor>
  <xdr:twoCellAnchor>
    <xdr:from>
      <xdr:col>3</xdr:col>
      <xdr:colOff>99060</xdr:colOff>
      <xdr:row>20</xdr:row>
      <xdr:rowOff>11430</xdr:rowOff>
    </xdr:from>
    <xdr:to>
      <xdr:col>5</xdr:col>
      <xdr:colOff>1059180</xdr:colOff>
      <xdr:row>26</xdr:row>
      <xdr:rowOff>53340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78D81A5-C370-A047-9083-71D9A9536AE9}"/>
            </a:ext>
          </a:extLst>
        </xdr:cNvPr>
        <xdr:cNvSpPr/>
      </xdr:nvSpPr>
      <xdr:spPr>
        <a:xfrm>
          <a:off x="2910840" y="2975610"/>
          <a:ext cx="2461260" cy="910590"/>
        </a:xfrm>
        <a:prstGeom prst="roundRect">
          <a:avLst/>
        </a:prstGeom>
        <a:solidFill>
          <a:srgbClr val="E6F1FB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rtl="0"/>
          <a:r>
            <a:rPr lang="en-AU" sz="10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2025 NET INCOME</a:t>
          </a:r>
        </a:p>
        <a:p>
          <a:pPr rtl="0"/>
          <a:endParaRPr lang="en-AU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/>
          <a:r>
            <a:rPr lang="en-AU" sz="1100" b="1" i="0" baseline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₦1,015bn</a:t>
          </a:r>
          <a:endParaRPr lang="en-AU" sz="1100" b="1">
            <a:solidFill>
              <a:schemeClr val="accent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/>
          <a:r>
            <a:rPr lang="en-AU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 ₦503bn in 2024</a:t>
          </a:r>
          <a:endParaRPr lang="en-AU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rtl="0"/>
          <a:r>
            <a:rPr lang="en-AU" sz="900" b="0" i="0" baseline="0">
              <a:solidFill>
                <a:srgbClr val="1A6B5A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↑ 101.7% YoY</a:t>
          </a:r>
          <a:endParaRPr lang="en-AU" sz="900">
            <a:solidFill>
              <a:srgbClr val="1A6B5A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0</xdr:colOff>
      <xdr:row>20</xdr:row>
      <xdr:rowOff>22860</xdr:rowOff>
    </xdr:from>
    <xdr:to>
      <xdr:col>7</xdr:col>
      <xdr:colOff>1165860</xdr:colOff>
      <xdr:row>26</xdr:row>
      <xdr:rowOff>53340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9200800-074E-BEBC-1CBA-B5CC93950015}"/>
            </a:ext>
          </a:extLst>
        </xdr:cNvPr>
        <xdr:cNvSpPr/>
      </xdr:nvSpPr>
      <xdr:spPr>
        <a:xfrm>
          <a:off x="5623560" y="2987040"/>
          <a:ext cx="2476500" cy="899160"/>
        </a:xfrm>
        <a:prstGeom prst="roundRect">
          <a:avLst/>
        </a:prstGeom>
        <a:solidFill>
          <a:srgbClr val="FAEEDA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AU" sz="1000" b="1" i="0" cap="all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5-Year Revenue CAGR</a:t>
          </a:r>
        </a:p>
        <a:p>
          <a:endParaRPr lang="en-AU" sz="900" b="0" i="0" cap="all">
            <a:solidFill>
              <a:schemeClr val="l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n-AU" sz="1100" b="1" i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~32.8%</a:t>
          </a:r>
        </a:p>
        <a:p>
          <a:r>
            <a:rPr lang="en-AU" sz="900" b="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2021 to 2025</a:t>
          </a:r>
        </a:p>
        <a:p>
          <a:r>
            <a:rPr lang="en-AU" sz="900" b="0" i="0">
              <a:solidFill>
                <a:srgbClr val="1A6B5A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Strong growth trajectory</a:t>
          </a:r>
        </a:p>
      </xdr:txBody>
    </xdr:sp>
    <xdr:clientData/>
  </xdr:twoCellAnchor>
  <xdr:twoCellAnchor>
    <xdr:from>
      <xdr:col>5</xdr:col>
      <xdr:colOff>30480</xdr:colOff>
      <xdr:row>28</xdr:row>
      <xdr:rowOff>0</xdr:rowOff>
    </xdr:from>
    <xdr:to>
      <xdr:col>7</xdr:col>
      <xdr:colOff>1181100</xdr:colOff>
      <xdr:row>32</xdr:row>
      <xdr:rowOff>30480</xdr:rowOff>
    </xdr:to>
    <xdr:sp macro="" textlink="">
      <xdr:nvSpPr>
        <xdr:cNvPr id="8" name="Rectangle: Diagonal Corners Snipped 7">
          <a:extLst>
            <a:ext uri="{FF2B5EF4-FFF2-40B4-BE49-F238E27FC236}">
              <a16:creationId xmlns:a16="http://schemas.microsoft.com/office/drawing/2014/main" id="{AAE6348D-79EB-78E4-3724-DBD3FF934F2A}"/>
            </a:ext>
          </a:extLst>
        </xdr:cNvPr>
        <xdr:cNvSpPr/>
      </xdr:nvSpPr>
      <xdr:spPr>
        <a:xfrm>
          <a:off x="4343400" y="4130040"/>
          <a:ext cx="3771900" cy="609600"/>
        </a:xfrm>
        <a:prstGeom prst="snip2DiagRect">
          <a:avLst/>
        </a:prstGeom>
        <a:solidFill>
          <a:srgbClr val="E1F5EE"/>
        </a:solidFill>
        <a:ln>
          <a:solidFill>
            <a:srgbClr val="1A6B5A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AU" sz="900" b="1" i="0">
              <a:solidFill>
                <a:srgbClr val="1A6B5A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Revenue quadrupled in 4 years</a:t>
          </a:r>
        </a:p>
        <a:p>
          <a:r>
            <a:rPr lang="en-AU" sz="900" b="0" i="0">
              <a:solidFill>
                <a:srgbClr val="1A6B5A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From ₦1.4tn in 2021 to ₦4.3tn in 2025 — a 211% increase driven by pricing power and capacity expansion.</a:t>
          </a:r>
        </a:p>
      </xdr:txBody>
    </xdr:sp>
    <xdr:clientData/>
  </xdr:twoCellAnchor>
  <xdr:twoCellAnchor>
    <xdr:from>
      <xdr:col>5</xdr:col>
      <xdr:colOff>30480</xdr:colOff>
      <xdr:row>32</xdr:row>
      <xdr:rowOff>76200</xdr:rowOff>
    </xdr:from>
    <xdr:to>
      <xdr:col>7</xdr:col>
      <xdr:colOff>1181100</xdr:colOff>
      <xdr:row>36</xdr:row>
      <xdr:rowOff>83820</xdr:rowOff>
    </xdr:to>
    <xdr:sp macro="" textlink="">
      <xdr:nvSpPr>
        <xdr:cNvPr id="9" name="Rectangle: Diagonal Corners Snipped 8">
          <a:extLst>
            <a:ext uri="{FF2B5EF4-FFF2-40B4-BE49-F238E27FC236}">
              <a16:creationId xmlns:a16="http://schemas.microsoft.com/office/drawing/2014/main" id="{654C3E25-307E-1265-33AC-FD5F545DC14C}"/>
            </a:ext>
          </a:extLst>
        </xdr:cNvPr>
        <xdr:cNvSpPr/>
      </xdr:nvSpPr>
      <xdr:spPr>
        <a:xfrm>
          <a:off x="4343400" y="4785360"/>
          <a:ext cx="3771900" cy="586740"/>
        </a:xfrm>
        <a:prstGeom prst="snip2DiagRect">
          <a:avLst/>
        </a:prstGeom>
        <a:solidFill>
          <a:srgbClr val="E6F1FB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AU" sz="900" b="1" i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2024 margin compression then recovery</a:t>
          </a:r>
        </a:p>
        <a:p>
          <a:r>
            <a:rPr lang="en-AU" sz="900" b="0" i="0">
              <a:solidFill>
                <a:schemeClr val="accen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Net margin fell to 14% in 2024 as finance costs hit ₦700bn. In 2025, debt reduction drove margin recovery to 24%.</a:t>
          </a:r>
        </a:p>
      </xdr:txBody>
    </xdr:sp>
    <xdr:clientData/>
  </xdr:twoCellAnchor>
  <xdr:twoCellAnchor>
    <xdr:from>
      <xdr:col>5</xdr:col>
      <xdr:colOff>30480</xdr:colOff>
      <xdr:row>37</xdr:row>
      <xdr:rowOff>0</xdr:rowOff>
    </xdr:from>
    <xdr:to>
      <xdr:col>7</xdr:col>
      <xdr:colOff>1181100</xdr:colOff>
      <xdr:row>41</xdr:row>
      <xdr:rowOff>45720</xdr:rowOff>
    </xdr:to>
    <xdr:sp macro="" textlink="">
      <xdr:nvSpPr>
        <xdr:cNvPr id="10" name="Rectangle: Diagonal Corners Snipped 9">
          <a:extLst>
            <a:ext uri="{FF2B5EF4-FFF2-40B4-BE49-F238E27FC236}">
              <a16:creationId xmlns:a16="http://schemas.microsoft.com/office/drawing/2014/main" id="{8E1FCD38-86FD-A5F4-8ABE-1E95889BE0F9}"/>
            </a:ext>
          </a:extLst>
        </xdr:cNvPr>
        <xdr:cNvSpPr/>
      </xdr:nvSpPr>
      <xdr:spPr>
        <a:xfrm>
          <a:off x="4343400" y="5433060"/>
          <a:ext cx="3771900" cy="624840"/>
        </a:xfrm>
        <a:prstGeom prst="snip2DiagRect">
          <a:avLst/>
        </a:prstGeom>
        <a:solidFill>
          <a:srgbClr val="FAEEDA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AU" sz="900" b="1" i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Forecast signals continued growth</a:t>
          </a:r>
        </a:p>
        <a:p>
          <a:r>
            <a:rPr lang="en-AU" sz="900" b="0" i="0">
              <a:solidFill>
                <a:schemeClr val="accent2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Blended 2026 forecast of ~₦5.4tn suggests 25% growth if current trajectory holds. Net income could reach ₦1.36tn.</a:t>
          </a:r>
        </a:p>
      </xdr:txBody>
    </xdr:sp>
    <xdr:clientData/>
  </xdr:twoCellAnchor>
  <xdr:twoCellAnchor editAs="oneCell">
    <xdr:from>
      <xdr:col>1</xdr:col>
      <xdr:colOff>0</xdr:colOff>
      <xdr:row>28</xdr:row>
      <xdr:rowOff>0</xdr:rowOff>
    </xdr:from>
    <xdr:to>
      <xdr:col>3</xdr:col>
      <xdr:colOff>1211580</xdr:colOff>
      <xdr:row>37</xdr:row>
      <xdr:rowOff>30480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4EF485-BD06-7C95-F485-C7A53A8E1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130040"/>
          <a:ext cx="3832860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5611-B94E-4F31-9129-7FA2DFAF5B07}">
  <dimension ref="B1:G26"/>
  <sheetViews>
    <sheetView workbookViewId="0">
      <selection activeCell="C4" sqref="C4"/>
    </sheetView>
  </sheetViews>
  <sheetFormatPr defaultRowHeight="11.4" x14ac:dyDescent="0.2"/>
  <cols>
    <col min="1" max="1" width="2" style="1" customWidth="1"/>
    <col min="2" max="2" width="33.44140625" style="1" customWidth="1"/>
    <col min="3" max="4" width="8.88671875" style="1"/>
    <col min="5" max="5" width="10.109375" style="1" customWidth="1"/>
    <col min="6" max="6" width="10.21875" style="1" customWidth="1"/>
    <col min="7" max="7" width="11.44140625" style="1" customWidth="1"/>
    <col min="8" max="16384" width="8.88671875" style="1"/>
  </cols>
  <sheetData>
    <row r="1" spans="2:7" ht="15.6" x14ac:dyDescent="0.3">
      <c r="B1" s="3" t="s">
        <v>12</v>
      </c>
    </row>
    <row r="3" spans="2:7" ht="24" x14ac:dyDescent="0.25">
      <c r="B3" s="4" t="s">
        <v>26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</row>
    <row r="4" spans="2:7" x14ac:dyDescent="0.2">
      <c r="B4" s="1" t="s">
        <v>0</v>
      </c>
      <c r="C4" s="8">
        <v>1383637</v>
      </c>
      <c r="D4" s="8">
        <v>1618323</v>
      </c>
      <c r="E4" s="8">
        <v>2208090</v>
      </c>
      <c r="F4" s="8">
        <v>3580550</v>
      </c>
      <c r="G4" s="8">
        <v>4306704</v>
      </c>
    </row>
    <row r="5" spans="2:7" x14ac:dyDescent="0.2">
      <c r="B5" s="1" t="s">
        <v>1</v>
      </c>
      <c r="C5" s="8">
        <v>-551019</v>
      </c>
      <c r="D5" s="8">
        <v>-662890</v>
      </c>
      <c r="E5" s="8">
        <v>-1006278</v>
      </c>
      <c r="F5" s="8">
        <v>-1645651</v>
      </c>
      <c r="G5" s="8">
        <v>-1634430</v>
      </c>
    </row>
    <row r="6" spans="2:7" ht="12" x14ac:dyDescent="0.25">
      <c r="B6" s="6" t="s">
        <v>2</v>
      </c>
      <c r="C6" s="9">
        <f>C4+C5</f>
        <v>832618</v>
      </c>
      <c r="D6" s="9">
        <f t="shared" ref="D6:G6" si="0">D4+D5</f>
        <v>955433</v>
      </c>
      <c r="E6" s="9">
        <f t="shared" si="0"/>
        <v>1201812</v>
      </c>
      <c r="F6" s="9">
        <f t="shared" si="0"/>
        <v>1934899</v>
      </c>
      <c r="G6" s="9">
        <f t="shared" si="0"/>
        <v>2672274</v>
      </c>
    </row>
    <row r="7" spans="2:7" x14ac:dyDescent="0.2">
      <c r="B7" s="1" t="s">
        <v>3</v>
      </c>
      <c r="C7" s="8">
        <v>-64349</v>
      </c>
      <c r="D7" s="8">
        <v>-79879</v>
      </c>
      <c r="E7" s="8">
        <v>-126533</v>
      </c>
      <c r="F7" s="8">
        <v>-220537</v>
      </c>
      <c r="G7" s="8">
        <v>-261761</v>
      </c>
    </row>
    <row r="8" spans="2:7" x14ac:dyDescent="0.2">
      <c r="B8" s="1" t="s">
        <v>4</v>
      </c>
      <c r="C8" s="8">
        <v>-191658</v>
      </c>
      <c r="D8" s="8">
        <v>-295234</v>
      </c>
      <c r="E8" s="8">
        <v>-365105</v>
      </c>
      <c r="F8" s="8">
        <v>-618664</v>
      </c>
      <c r="G8" s="8">
        <v>-682763</v>
      </c>
    </row>
    <row r="9" spans="2:7" x14ac:dyDescent="0.2">
      <c r="B9" s="1" t="s">
        <v>5</v>
      </c>
      <c r="C9" s="8">
        <v>6221</v>
      </c>
      <c r="D9" s="8">
        <v>5333</v>
      </c>
      <c r="E9" s="8">
        <v>24953</v>
      </c>
      <c r="F9" s="8">
        <v>57070</v>
      </c>
      <c r="G9" s="8">
        <v>42251</v>
      </c>
    </row>
    <row r="10" spans="2:7" x14ac:dyDescent="0.2">
      <c r="B10" s="1" t="s">
        <v>6</v>
      </c>
      <c r="C10" s="8">
        <v>-341</v>
      </c>
      <c r="D10" s="8">
        <v>223</v>
      </c>
      <c r="E10" s="8">
        <v>-860</v>
      </c>
      <c r="F10" s="8">
        <v>-726</v>
      </c>
      <c r="G10" s="8">
        <v>-4724</v>
      </c>
    </row>
    <row r="11" spans="2:7" ht="12" x14ac:dyDescent="0.25">
      <c r="B11" s="6" t="s">
        <v>13</v>
      </c>
      <c r="C11" s="9">
        <f>SUM(C6:C10)</f>
        <v>582491</v>
      </c>
      <c r="D11" s="9">
        <f t="shared" ref="D11:G11" si="1">SUM(D6:D10)</f>
        <v>585876</v>
      </c>
      <c r="E11" s="9">
        <f t="shared" si="1"/>
        <v>734267</v>
      </c>
      <c r="F11" s="9">
        <f t="shared" si="1"/>
        <v>1152042</v>
      </c>
      <c r="G11" s="9">
        <f t="shared" si="1"/>
        <v>1765277</v>
      </c>
    </row>
    <row r="12" spans="2:7" x14ac:dyDescent="0.2">
      <c r="B12" s="1" t="s">
        <v>7</v>
      </c>
      <c r="C12" s="8">
        <v>20765</v>
      </c>
      <c r="D12" s="8">
        <v>38715</v>
      </c>
      <c r="E12" s="8">
        <v>27405</v>
      </c>
      <c r="F12" s="8">
        <v>168572</v>
      </c>
      <c r="G12" s="8">
        <v>109942</v>
      </c>
    </row>
    <row r="13" spans="2:7" x14ac:dyDescent="0.2">
      <c r="B13" s="1" t="s">
        <v>8</v>
      </c>
      <c r="C13" s="8">
        <v>-65707</v>
      </c>
      <c r="D13" s="8">
        <v>-130370</v>
      </c>
      <c r="E13" s="8">
        <v>-310962</v>
      </c>
      <c r="F13" s="8">
        <v>-700299</v>
      </c>
      <c r="G13" s="8">
        <v>-351504</v>
      </c>
    </row>
    <row r="14" spans="2:7" x14ac:dyDescent="0.2">
      <c r="B14" s="1" t="s">
        <v>9</v>
      </c>
      <c r="C14" s="8">
        <v>0</v>
      </c>
      <c r="D14" s="8">
        <v>29022</v>
      </c>
      <c r="E14" s="8">
        <v>101163</v>
      </c>
      <c r="F14" s="8">
        <v>109404</v>
      </c>
      <c r="G14" s="8">
        <v>6452</v>
      </c>
    </row>
    <row r="15" spans="2:7" x14ac:dyDescent="0.2">
      <c r="B15" s="1" t="s">
        <v>10</v>
      </c>
      <c r="C15" s="8">
        <v>817</v>
      </c>
      <c r="D15" s="8">
        <v>759</v>
      </c>
      <c r="E15" s="8">
        <v>1231</v>
      </c>
      <c r="F15" s="8">
        <v>2818</v>
      </c>
      <c r="G15" s="8">
        <v>2493</v>
      </c>
    </row>
    <row r="16" spans="2:7" ht="12" x14ac:dyDescent="0.25">
      <c r="B16" s="6" t="s">
        <v>14</v>
      </c>
      <c r="C16" s="9">
        <f>SUM(C11:C15)</f>
        <v>538366</v>
      </c>
      <c r="D16" s="9">
        <f t="shared" ref="D16:G16" si="2">SUM(D11:D15)</f>
        <v>524002</v>
      </c>
      <c r="E16" s="9">
        <f t="shared" si="2"/>
        <v>553104</v>
      </c>
      <c r="F16" s="9">
        <f t="shared" si="2"/>
        <v>732537</v>
      </c>
      <c r="G16" s="9">
        <f t="shared" si="2"/>
        <v>1532660</v>
      </c>
    </row>
    <row r="17" spans="2:7" x14ac:dyDescent="0.2">
      <c r="B17" s="1" t="s">
        <v>11</v>
      </c>
      <c r="C17" s="8">
        <v>-173927</v>
      </c>
      <c r="D17" s="8">
        <v>-141691</v>
      </c>
      <c r="E17" s="8">
        <v>-97521</v>
      </c>
      <c r="F17" s="8">
        <v>-229290</v>
      </c>
      <c r="G17" s="8">
        <v>-517739</v>
      </c>
    </row>
    <row r="18" spans="2:7" ht="12.6" thickBot="1" x14ac:dyDescent="0.3">
      <c r="B18" s="7" t="s">
        <v>15</v>
      </c>
      <c r="C18" s="10">
        <f>C16+C17</f>
        <v>364439</v>
      </c>
      <c r="D18" s="10">
        <f t="shared" ref="D18:G18" si="3">D16+D17</f>
        <v>382311</v>
      </c>
      <c r="E18" s="10">
        <f t="shared" si="3"/>
        <v>455583</v>
      </c>
      <c r="F18" s="10">
        <f t="shared" si="3"/>
        <v>503247</v>
      </c>
      <c r="G18" s="10">
        <f t="shared" si="3"/>
        <v>1014921</v>
      </c>
    </row>
    <row r="20" spans="2:7" x14ac:dyDescent="0.2">
      <c r="B20" s="20" t="s">
        <v>16</v>
      </c>
      <c r="C20" s="21"/>
      <c r="D20" s="21"/>
      <c r="E20" s="21"/>
      <c r="F20" s="21"/>
      <c r="G20" s="21"/>
    </row>
    <row r="21" spans="2:7" x14ac:dyDescent="0.2">
      <c r="B21" s="21" t="s">
        <v>27</v>
      </c>
      <c r="C21" s="22"/>
      <c r="D21" s="22">
        <f>D4/C4-1</f>
        <v>0.16961529649756413</v>
      </c>
      <c r="E21" s="22">
        <f t="shared" ref="E21:G21" si="4">E4/D4-1</f>
        <v>0.36443095723165286</v>
      </c>
      <c r="F21" s="22">
        <f t="shared" si="4"/>
        <v>0.62155980960920987</v>
      </c>
      <c r="G21" s="22">
        <f t="shared" si="4"/>
        <v>0.20280515563251456</v>
      </c>
    </row>
    <row r="22" spans="2:7" x14ac:dyDescent="0.2">
      <c r="B22" s="21" t="s">
        <v>104</v>
      </c>
      <c r="C22" s="22">
        <f>C6/C4</f>
        <v>0.60176043283028713</v>
      </c>
      <c r="D22" s="22">
        <f t="shared" ref="D22:G22" si="5">D6/D4</f>
        <v>0.59038461419630073</v>
      </c>
      <c r="E22" s="22">
        <f t="shared" si="5"/>
        <v>0.54427672785076697</v>
      </c>
      <c r="F22" s="22">
        <f t="shared" si="5"/>
        <v>0.54039155995587274</v>
      </c>
      <c r="G22" s="22">
        <f t="shared" si="5"/>
        <v>0.62049167994828525</v>
      </c>
    </row>
    <row r="23" spans="2:7" x14ac:dyDescent="0.2">
      <c r="B23" s="21" t="s">
        <v>17</v>
      </c>
      <c r="C23" s="22">
        <f>C11/C4</f>
        <v>0.42098541741800777</v>
      </c>
      <c r="D23" s="22">
        <f t="shared" ref="D23:G23" si="6">D11/D4</f>
        <v>0.36202661644183515</v>
      </c>
      <c r="E23" s="22">
        <f t="shared" si="6"/>
        <v>0.33253490573300909</v>
      </c>
      <c r="F23" s="22">
        <f t="shared" si="6"/>
        <v>0.3217500104732513</v>
      </c>
      <c r="G23" s="22">
        <f t="shared" si="6"/>
        <v>0.40989048701745001</v>
      </c>
    </row>
    <row r="24" spans="2:7" x14ac:dyDescent="0.2">
      <c r="B24" s="21" t="s">
        <v>18</v>
      </c>
      <c r="C24" s="22">
        <f>C18/C4</f>
        <v>0.26339206020076072</v>
      </c>
      <c r="D24" s="22">
        <f t="shared" ref="D24:G24" si="7">D18/D4</f>
        <v>0.23623899555280373</v>
      </c>
      <c r="E24" s="22">
        <f t="shared" si="7"/>
        <v>0.20632447046995367</v>
      </c>
      <c r="F24" s="22">
        <f t="shared" si="7"/>
        <v>0.14055019480247449</v>
      </c>
      <c r="G24" s="22">
        <f t="shared" si="7"/>
        <v>0.23566072801845681</v>
      </c>
    </row>
    <row r="25" spans="2:7" x14ac:dyDescent="0.2">
      <c r="B25" s="21" t="s">
        <v>19</v>
      </c>
      <c r="C25" s="22">
        <f>C18/'Balance Sheet Input'!C20</f>
        <v>0.15235623128411604</v>
      </c>
      <c r="D25" s="22">
        <f>D18/'Balance Sheet Input'!D20</f>
        <v>0.14616262465806842</v>
      </c>
      <c r="E25" s="22">
        <f>E18/'Balance Sheet Input'!E20</f>
        <v>0.1156676335616221</v>
      </c>
      <c r="F25" s="22">
        <f>F18/'Balance Sheet Input'!F20</f>
        <v>7.8592580816143329E-2</v>
      </c>
      <c r="G25" s="22">
        <f>G18/'Balance Sheet Input'!G20</f>
        <v>0.16801305538224123</v>
      </c>
    </row>
    <row r="26" spans="2:7" x14ac:dyDescent="0.2">
      <c r="B26" s="21" t="s">
        <v>20</v>
      </c>
      <c r="C26" s="22">
        <f>C18/'Balance Sheet Input'!C34</f>
        <v>0.37751224918942994</v>
      </c>
      <c r="D26" s="22">
        <f>D18/'Balance Sheet Input'!D34</f>
        <v>0.36259696557846449</v>
      </c>
      <c r="E26" s="22">
        <f>E18/'Balance Sheet Input'!E34</f>
        <v>0.26941090480735458</v>
      </c>
      <c r="F26" s="22">
        <f>F18/'Balance Sheet Input'!F34</f>
        <v>0.23715212179960538</v>
      </c>
      <c r="G26" s="22">
        <f>G18/'Balance Sheet Input'!G34</f>
        <v>0.40270871458069801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ED1-0F01-4D47-B765-11C251E4A06C}">
  <dimension ref="B1:G48"/>
  <sheetViews>
    <sheetView workbookViewId="0">
      <selection activeCell="F3" sqref="F3"/>
    </sheetView>
  </sheetViews>
  <sheetFormatPr defaultRowHeight="11.4" x14ac:dyDescent="0.2"/>
  <cols>
    <col min="1" max="1" width="2" style="1" customWidth="1"/>
    <col min="2" max="2" width="34.6640625" style="1" customWidth="1"/>
    <col min="3" max="3" width="8.88671875" style="1" customWidth="1"/>
    <col min="4" max="16384" width="8.88671875" style="1"/>
  </cols>
  <sheetData>
    <row r="1" spans="2:7" ht="15.6" x14ac:dyDescent="0.3">
      <c r="B1" s="3" t="s">
        <v>28</v>
      </c>
    </row>
    <row r="3" spans="2:7" ht="24" x14ac:dyDescent="0.25">
      <c r="B3" s="4" t="s">
        <v>26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</row>
    <row r="4" spans="2:7" x14ac:dyDescent="0.2">
      <c r="B4" s="1" t="s">
        <v>38</v>
      </c>
      <c r="C4" s="12">
        <v>167205</v>
      </c>
      <c r="D4" s="12">
        <v>239563</v>
      </c>
      <c r="E4" s="12">
        <v>394023</v>
      </c>
      <c r="F4" s="12">
        <v>669662</v>
      </c>
      <c r="G4" s="12">
        <v>756835</v>
      </c>
    </row>
    <row r="5" spans="2:7" x14ac:dyDescent="0.2">
      <c r="B5" s="1" t="s">
        <v>39</v>
      </c>
      <c r="C5" s="12">
        <v>47469</v>
      </c>
      <c r="D5" s="12">
        <v>45490</v>
      </c>
      <c r="E5" s="12">
        <v>73215</v>
      </c>
      <c r="F5" s="12">
        <v>116742</v>
      </c>
      <c r="G5" s="12">
        <v>147472</v>
      </c>
    </row>
    <row r="6" spans="2:7" x14ac:dyDescent="0.2">
      <c r="B6" s="1" t="s">
        <v>40</v>
      </c>
      <c r="C6" s="12">
        <v>311722</v>
      </c>
      <c r="D6" s="12">
        <v>447149</v>
      </c>
      <c r="E6" s="12">
        <v>488676</v>
      </c>
      <c r="F6" s="12">
        <v>665071</v>
      </c>
      <c r="G6" s="12">
        <v>663611</v>
      </c>
    </row>
    <row r="7" spans="2:7" x14ac:dyDescent="0.2">
      <c r="B7" s="1" t="s">
        <v>34</v>
      </c>
      <c r="C7" s="12">
        <v>3752</v>
      </c>
      <c r="D7" s="12">
        <v>5981</v>
      </c>
      <c r="E7" s="12">
        <v>4059</v>
      </c>
      <c r="F7" s="12">
        <v>7889</v>
      </c>
      <c r="G7" s="12">
        <v>4897</v>
      </c>
    </row>
    <row r="8" spans="2:7" x14ac:dyDescent="0.2">
      <c r="B8" s="1" t="s">
        <v>41</v>
      </c>
      <c r="C8" s="12">
        <v>3051</v>
      </c>
      <c r="D8" s="12">
        <v>1435</v>
      </c>
      <c r="E8" s="12">
        <v>1944</v>
      </c>
      <c r="F8" s="12">
        <v>1826</v>
      </c>
      <c r="G8" s="12">
        <v>1573</v>
      </c>
    </row>
    <row r="9" spans="2:7" x14ac:dyDescent="0.2">
      <c r="B9" s="1" t="s">
        <v>42</v>
      </c>
      <c r="C9" s="12">
        <v>339843</v>
      </c>
      <c r="D9" s="12">
        <v>283843</v>
      </c>
      <c r="E9" s="12">
        <v>447097</v>
      </c>
      <c r="F9" s="12">
        <v>449831</v>
      </c>
      <c r="G9" s="12">
        <v>397569</v>
      </c>
    </row>
    <row r="10" spans="2:7" ht="12" x14ac:dyDescent="0.25">
      <c r="B10" s="6" t="s">
        <v>43</v>
      </c>
      <c r="C10" s="13">
        <f>SUM(C4:C9)</f>
        <v>873042</v>
      </c>
      <c r="D10" s="13">
        <f t="shared" ref="D10:G10" si="0">SUM(D4:D9)</f>
        <v>1023461</v>
      </c>
      <c r="E10" s="13">
        <f t="shared" si="0"/>
        <v>1409014</v>
      </c>
      <c r="F10" s="13">
        <f t="shared" si="0"/>
        <v>1911021</v>
      </c>
      <c r="G10" s="13">
        <f t="shared" si="0"/>
        <v>1971957</v>
      </c>
    </row>
    <row r="11" spans="2:7" x14ac:dyDescent="0.2">
      <c r="B11" s="1" t="s">
        <v>29</v>
      </c>
      <c r="C11" s="12">
        <v>1472859</v>
      </c>
      <c r="D11" s="12">
        <v>1527293</v>
      </c>
      <c r="E11" s="12">
        <v>2383528</v>
      </c>
      <c r="F11" s="12">
        <v>3271322</v>
      </c>
      <c r="G11" s="12">
        <v>3917363</v>
      </c>
    </row>
    <row r="12" spans="2:7" x14ac:dyDescent="0.2">
      <c r="B12" s="1" t="s">
        <v>30</v>
      </c>
      <c r="C12" s="12">
        <v>5122</v>
      </c>
      <c r="D12" s="12">
        <v>6225</v>
      </c>
      <c r="E12" s="12">
        <v>12356</v>
      </c>
      <c r="F12" s="12">
        <v>17003</v>
      </c>
      <c r="G12" s="12">
        <v>16383</v>
      </c>
    </row>
    <row r="13" spans="2:7" x14ac:dyDescent="0.2">
      <c r="B13" s="1" t="s">
        <v>31</v>
      </c>
      <c r="C13" s="12">
        <v>18566</v>
      </c>
      <c r="D13" s="12">
        <v>23551</v>
      </c>
      <c r="E13" s="12">
        <v>51319</v>
      </c>
      <c r="F13" s="12">
        <v>70429</v>
      </c>
      <c r="G13" s="12">
        <v>62032</v>
      </c>
    </row>
    <row r="14" spans="2:7" x14ac:dyDescent="0.2">
      <c r="B14" s="1" t="s">
        <v>32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</row>
    <row r="15" spans="2:7" x14ac:dyDescent="0.2">
      <c r="B15" s="1" t="s">
        <v>33</v>
      </c>
      <c r="C15" s="12">
        <v>6528</v>
      </c>
      <c r="D15" s="12">
        <v>2580</v>
      </c>
      <c r="E15" s="12">
        <v>2607</v>
      </c>
      <c r="F15" s="12">
        <v>3005</v>
      </c>
      <c r="G15" s="12">
        <v>3222</v>
      </c>
    </row>
    <row r="16" spans="2:7" x14ac:dyDescent="0.2">
      <c r="B16" s="1" t="s">
        <v>34</v>
      </c>
      <c r="C16" s="12">
        <v>5980</v>
      </c>
      <c r="D16" s="12">
        <v>17085</v>
      </c>
      <c r="E16" s="12">
        <v>14656</v>
      </c>
      <c r="F16" s="12">
        <v>16877</v>
      </c>
      <c r="G16" s="12">
        <v>23044</v>
      </c>
    </row>
    <row r="17" spans="2:7" x14ac:dyDescent="0.2">
      <c r="B17" s="1" t="s">
        <v>35</v>
      </c>
      <c r="C17" s="12">
        <v>5163</v>
      </c>
      <c r="D17" s="12">
        <v>14193</v>
      </c>
      <c r="E17" s="12">
        <v>25933</v>
      </c>
      <c r="F17" s="12">
        <v>19426</v>
      </c>
      <c r="G17" s="12">
        <v>17757</v>
      </c>
    </row>
    <row r="18" spans="2:7" x14ac:dyDescent="0.2">
      <c r="B18" s="1" t="s">
        <v>36</v>
      </c>
      <c r="C18" s="12">
        <v>4759</v>
      </c>
      <c r="D18" s="12">
        <v>1267</v>
      </c>
      <c r="E18" s="12">
        <v>39312</v>
      </c>
      <c r="F18" s="12">
        <v>48580</v>
      </c>
      <c r="G18" s="12">
        <v>28969</v>
      </c>
    </row>
    <row r="19" spans="2:7" x14ac:dyDescent="0.2">
      <c r="B19" s="1" t="s">
        <v>37</v>
      </c>
      <c r="C19" s="12">
        <v>0</v>
      </c>
      <c r="D19" s="12">
        <v>0</v>
      </c>
      <c r="E19" s="12">
        <v>0</v>
      </c>
      <c r="F19" s="12">
        <v>1045575</v>
      </c>
      <c r="G19" s="12">
        <v>0</v>
      </c>
    </row>
    <row r="20" spans="2:7" ht="12.6" thickBot="1" x14ac:dyDescent="0.3">
      <c r="B20" s="7" t="s">
        <v>44</v>
      </c>
      <c r="C20" s="14">
        <f>SUM(C10:C19)</f>
        <v>2392019</v>
      </c>
      <c r="D20" s="14">
        <f t="shared" ref="D20:G20" si="1">SUM(D10:D19)</f>
        <v>2615655</v>
      </c>
      <c r="E20" s="14">
        <f t="shared" si="1"/>
        <v>3938725</v>
      </c>
      <c r="F20" s="14">
        <f t="shared" si="1"/>
        <v>6403238</v>
      </c>
      <c r="G20" s="14">
        <f t="shared" si="1"/>
        <v>6040727</v>
      </c>
    </row>
    <row r="21" spans="2:7" x14ac:dyDescent="0.2">
      <c r="B21" s="1" t="s">
        <v>45</v>
      </c>
      <c r="C21" s="12">
        <v>371224</v>
      </c>
      <c r="D21" s="12">
        <v>334899</v>
      </c>
      <c r="E21" s="12">
        <v>619901</v>
      </c>
      <c r="F21" s="12">
        <v>992119</v>
      </c>
      <c r="G21" s="12">
        <v>1269622</v>
      </c>
    </row>
    <row r="22" spans="2:7" x14ac:dyDescent="0.2">
      <c r="B22" s="1" t="s">
        <v>46</v>
      </c>
      <c r="C22" s="12">
        <v>2187</v>
      </c>
      <c r="D22" s="12">
        <v>1713</v>
      </c>
      <c r="E22" s="12">
        <v>4099</v>
      </c>
      <c r="F22" s="12">
        <v>5860</v>
      </c>
      <c r="G22" s="12">
        <v>6221</v>
      </c>
    </row>
    <row r="23" spans="2:7" x14ac:dyDescent="0.2">
      <c r="B23" s="1" t="s">
        <v>47</v>
      </c>
      <c r="C23" s="12">
        <v>153385</v>
      </c>
      <c r="D23" s="12">
        <v>167971</v>
      </c>
      <c r="E23" s="12">
        <v>174287</v>
      </c>
      <c r="F23" s="12">
        <v>183160</v>
      </c>
      <c r="G23" s="12">
        <v>297021</v>
      </c>
    </row>
    <row r="24" spans="2:7" x14ac:dyDescent="0.2">
      <c r="B24" s="1" t="s">
        <v>48</v>
      </c>
      <c r="C24" s="12">
        <v>401393</v>
      </c>
      <c r="D24" s="12">
        <v>392378</v>
      </c>
      <c r="E24" s="12">
        <v>624256</v>
      </c>
      <c r="F24" s="12">
        <v>1245181</v>
      </c>
      <c r="G24" s="12">
        <v>799765</v>
      </c>
    </row>
    <row r="25" spans="2:7" x14ac:dyDescent="0.2">
      <c r="B25" s="1" t="s">
        <v>49</v>
      </c>
      <c r="C25" s="12">
        <v>148294</v>
      </c>
      <c r="D25" s="12">
        <v>124724</v>
      </c>
      <c r="E25" s="12">
        <v>190089</v>
      </c>
      <c r="F25" s="12">
        <v>143264</v>
      </c>
      <c r="G25" s="12">
        <v>231065</v>
      </c>
    </row>
    <row r="26" spans="2:7" ht="12" x14ac:dyDescent="0.25">
      <c r="B26" s="6" t="s">
        <v>50</v>
      </c>
      <c r="C26" s="13">
        <f>SUM(C21:C25)</f>
        <v>1076483</v>
      </c>
      <c r="D26" s="13">
        <f t="shared" ref="D26:G26" si="2">SUM(D21:D25)</f>
        <v>1021685</v>
      </c>
      <c r="E26" s="13">
        <f t="shared" si="2"/>
        <v>1612632</v>
      </c>
      <c r="F26" s="13">
        <f t="shared" si="2"/>
        <v>2569584</v>
      </c>
      <c r="G26" s="13">
        <f t="shared" si="2"/>
        <v>2603694</v>
      </c>
    </row>
    <row r="27" spans="2:7" x14ac:dyDescent="0.2">
      <c r="B27" s="1" t="s">
        <v>51</v>
      </c>
      <c r="C27" s="12">
        <v>135003</v>
      </c>
      <c r="D27" s="12">
        <v>154026</v>
      </c>
      <c r="E27" s="12">
        <v>161483</v>
      </c>
      <c r="F27" s="12">
        <v>196422</v>
      </c>
      <c r="G27" s="12">
        <v>353245</v>
      </c>
    </row>
    <row r="28" spans="2:7" x14ac:dyDescent="0.2">
      <c r="B28" s="1" t="s">
        <v>48</v>
      </c>
      <c r="C28" s="12">
        <v>176562</v>
      </c>
      <c r="D28" s="12">
        <v>333498</v>
      </c>
      <c r="E28" s="12">
        <v>388364</v>
      </c>
      <c r="F28" s="12">
        <v>1386383</v>
      </c>
      <c r="G28" s="12">
        <v>359810</v>
      </c>
    </row>
    <row r="29" spans="2:7" x14ac:dyDescent="0.2">
      <c r="B29" s="1" t="s">
        <v>46</v>
      </c>
      <c r="C29" s="12">
        <v>8019</v>
      </c>
      <c r="D29" s="12">
        <v>8057</v>
      </c>
      <c r="E29" s="12">
        <v>16505</v>
      </c>
      <c r="F29" s="12">
        <v>26317</v>
      </c>
      <c r="G29" s="12">
        <v>24597</v>
      </c>
    </row>
    <row r="30" spans="2:7" x14ac:dyDescent="0.2">
      <c r="B30" s="1" t="s">
        <v>52</v>
      </c>
      <c r="C30" s="12">
        <v>8428</v>
      </c>
      <c r="D30" s="12">
        <v>10575</v>
      </c>
      <c r="E30" s="12">
        <v>21200</v>
      </c>
      <c r="F30" s="12">
        <v>31931</v>
      </c>
      <c r="G30" s="12">
        <v>57427</v>
      </c>
    </row>
    <row r="31" spans="2:7" x14ac:dyDescent="0.2">
      <c r="B31" s="1" t="s">
        <v>53</v>
      </c>
      <c r="C31" s="12">
        <v>636</v>
      </c>
      <c r="D31" s="12">
        <v>320</v>
      </c>
      <c r="E31" s="12">
        <v>510</v>
      </c>
      <c r="F31" s="12">
        <v>756</v>
      </c>
      <c r="G31" s="12">
        <v>708</v>
      </c>
    </row>
    <row r="32" spans="2:7" x14ac:dyDescent="0.2">
      <c r="B32" s="1" t="s">
        <v>54</v>
      </c>
      <c r="C32" s="12">
        <v>3219</v>
      </c>
      <c r="D32" s="12">
        <v>8547</v>
      </c>
      <c r="E32" s="12">
        <v>12191</v>
      </c>
      <c r="F32" s="12">
        <v>16600</v>
      </c>
      <c r="G32" s="12">
        <v>21110</v>
      </c>
    </row>
    <row r="33" spans="2:7" ht="12" x14ac:dyDescent="0.25">
      <c r="B33" s="2" t="s">
        <v>55</v>
      </c>
      <c r="C33" s="15">
        <f>SUM(C26:C32)</f>
        <v>1408350</v>
      </c>
      <c r="D33" s="15">
        <f t="shared" ref="D33:G33" si="3">SUM(D26:D32)</f>
        <v>1536708</v>
      </c>
      <c r="E33" s="15">
        <f t="shared" si="3"/>
        <v>2212885</v>
      </c>
      <c r="F33" s="15">
        <f t="shared" si="3"/>
        <v>4227993</v>
      </c>
      <c r="G33" s="15">
        <f t="shared" si="3"/>
        <v>3420591</v>
      </c>
    </row>
    <row r="34" spans="2:7" ht="12" x14ac:dyDescent="0.25">
      <c r="B34" s="11" t="s">
        <v>58</v>
      </c>
      <c r="C34" s="15">
        <v>965370</v>
      </c>
      <c r="D34" s="15">
        <v>1054369</v>
      </c>
      <c r="E34" s="15">
        <v>1691034</v>
      </c>
      <c r="F34" s="15">
        <v>2122043</v>
      </c>
      <c r="G34" s="15">
        <v>2520236</v>
      </c>
    </row>
    <row r="35" spans="2:7" x14ac:dyDescent="0.2">
      <c r="B35" s="1" t="s">
        <v>56</v>
      </c>
      <c r="C35" s="12">
        <v>18299</v>
      </c>
      <c r="D35" s="12">
        <v>24578</v>
      </c>
      <c r="E35" s="12">
        <v>34806</v>
      </c>
      <c r="F35" s="12">
        <v>53202</v>
      </c>
      <c r="G35" s="12">
        <v>99900</v>
      </c>
    </row>
    <row r="36" spans="2:7" ht="12.6" thickBot="1" x14ac:dyDescent="0.3">
      <c r="B36" s="7" t="s">
        <v>57</v>
      </c>
      <c r="C36" s="14">
        <f>SUM(C33:C35)</f>
        <v>2392019</v>
      </c>
      <c r="D36" s="14">
        <f t="shared" ref="D36:G36" si="4">SUM(D33:D35)</f>
        <v>2615655</v>
      </c>
      <c r="E36" s="14">
        <f t="shared" si="4"/>
        <v>3938725</v>
      </c>
      <c r="F36" s="14">
        <f t="shared" si="4"/>
        <v>6403238</v>
      </c>
      <c r="G36" s="14">
        <f t="shared" si="4"/>
        <v>6040727</v>
      </c>
    </row>
    <row r="37" spans="2:7" x14ac:dyDescent="0.2">
      <c r="C37" s="12"/>
      <c r="D37" s="12"/>
      <c r="E37" s="12"/>
      <c r="F37" s="12"/>
      <c r="G37" s="12"/>
    </row>
    <row r="38" spans="2:7" x14ac:dyDescent="0.2">
      <c r="B38" s="16" t="s">
        <v>16</v>
      </c>
      <c r="C38" s="17"/>
      <c r="D38" s="17"/>
      <c r="E38" s="17"/>
      <c r="F38" s="17"/>
      <c r="G38" s="17"/>
    </row>
    <row r="39" spans="2:7" x14ac:dyDescent="0.2">
      <c r="B39" s="16" t="s">
        <v>59</v>
      </c>
      <c r="C39" s="17"/>
      <c r="D39" s="17"/>
      <c r="E39" s="17"/>
      <c r="F39" s="17"/>
      <c r="G39" s="17"/>
    </row>
    <row r="40" spans="2:7" x14ac:dyDescent="0.2">
      <c r="B40" s="18" t="s">
        <v>60</v>
      </c>
      <c r="C40" s="19">
        <f>(C9+C5)/C26</f>
        <v>0.35979388434373788</v>
      </c>
      <c r="D40" s="19">
        <f t="shared" ref="D40:G40" si="5">(D9+D5)/D26</f>
        <v>0.32234299221384283</v>
      </c>
      <c r="E40" s="19">
        <f t="shared" si="5"/>
        <v>0.32264769643663277</v>
      </c>
      <c r="F40" s="19">
        <f t="shared" si="5"/>
        <v>0.22049211078524772</v>
      </c>
      <c r="G40" s="19">
        <f t="shared" si="5"/>
        <v>0.20933373891094728</v>
      </c>
    </row>
    <row r="41" spans="2:7" x14ac:dyDescent="0.2">
      <c r="B41" s="18" t="s">
        <v>61</v>
      </c>
      <c r="C41" s="19">
        <f>C10/C26</f>
        <v>0.81101327192347672</v>
      </c>
      <c r="D41" s="19">
        <f t="shared" ref="D41:G41" si="6">D10/D26</f>
        <v>1.0017383048591297</v>
      </c>
      <c r="E41" s="19">
        <f t="shared" si="6"/>
        <v>0.87373560737973699</v>
      </c>
      <c r="F41" s="19">
        <f t="shared" si="6"/>
        <v>0.74370832010161958</v>
      </c>
      <c r="G41" s="19">
        <f t="shared" si="6"/>
        <v>0.75736895349453504</v>
      </c>
    </row>
    <row r="42" spans="2:7" x14ac:dyDescent="0.2">
      <c r="B42" s="18" t="s">
        <v>62</v>
      </c>
      <c r="C42" s="19">
        <f>C5/'P&amp;L Input'!C4*360</f>
        <v>12.350667118615648</v>
      </c>
      <c r="D42" s="19">
        <f>D5/'P&amp;L Input'!D4*360</f>
        <v>10.119364304900815</v>
      </c>
      <c r="E42" s="19">
        <f>E5/'P&amp;L Input'!E4*360</f>
        <v>11.936741708897735</v>
      </c>
      <c r="F42" s="19">
        <f>F5/'P&amp;L Input'!F4*360</f>
        <v>11.737615729427043</v>
      </c>
      <c r="G42" s="19">
        <f>G5/'P&amp;L Input'!G4*360</f>
        <v>12.327273943136097</v>
      </c>
    </row>
    <row r="43" spans="2:7" x14ac:dyDescent="0.2">
      <c r="B43" s="18" t="s">
        <v>63</v>
      </c>
      <c r="C43" s="19">
        <f>-C4/'P&amp;L Input'!C5*360</f>
        <v>109.24087917113566</v>
      </c>
      <c r="D43" s="19">
        <f>-D4/'P&amp;L Input'!D5*360</f>
        <v>130.1010424052256</v>
      </c>
      <c r="E43" s="19">
        <f>-E4/'P&amp;L Input'!E5*360</f>
        <v>140.96331232522226</v>
      </c>
      <c r="F43" s="19">
        <f>-F4/'P&amp;L Input'!F5*360</f>
        <v>146.49419591395747</v>
      </c>
      <c r="G43" s="19">
        <f>-G4/'P&amp;L Input'!G5*360</f>
        <v>166.70068464235237</v>
      </c>
    </row>
    <row r="44" spans="2:7" x14ac:dyDescent="0.2">
      <c r="B44" s="18" t="s">
        <v>64</v>
      </c>
      <c r="C44" s="19">
        <f>-C21/'P&amp;L Input'!C5*360</f>
        <v>242.53363314150693</v>
      </c>
      <c r="D44" s="19">
        <f>-D21/'P&amp;L Input'!D5*360</f>
        <v>181.87578632955692</v>
      </c>
      <c r="E44" s="19">
        <f>-E21/'P&amp;L Input'!E5*360</f>
        <v>221.77207491369185</v>
      </c>
      <c r="F44" s="19">
        <f>-F21/'P&amp;L Input'!F5*360</f>
        <v>217.0343772768345</v>
      </c>
      <c r="G44" s="19">
        <f>-G21/'P&amp;L Input'!G5*360</f>
        <v>279.64728988087592</v>
      </c>
    </row>
    <row r="45" spans="2:7" x14ac:dyDescent="0.2">
      <c r="B45" s="18" t="s">
        <v>65</v>
      </c>
      <c r="C45" s="19">
        <f>C42+C43-C44</f>
        <v>-120.94208685175562</v>
      </c>
      <c r="D45" s="19">
        <f t="shared" ref="D45:G45" si="7">D42+D43-D44</f>
        <v>-41.655379619430505</v>
      </c>
      <c r="E45" s="19">
        <f t="shared" si="7"/>
        <v>-68.872020879571863</v>
      </c>
      <c r="F45" s="19">
        <f t="shared" si="7"/>
        <v>-58.802565633450001</v>
      </c>
      <c r="G45" s="19">
        <f t="shared" si="7"/>
        <v>-100.61933129538744</v>
      </c>
    </row>
    <row r="46" spans="2:7" x14ac:dyDescent="0.2">
      <c r="B46" s="16" t="s">
        <v>66</v>
      </c>
      <c r="C46" s="19"/>
      <c r="D46" s="19"/>
      <c r="E46" s="19"/>
      <c r="F46" s="19"/>
      <c r="G46" s="19"/>
    </row>
    <row r="47" spans="2:7" x14ac:dyDescent="0.2">
      <c r="B47" s="18" t="s">
        <v>67</v>
      </c>
      <c r="C47" s="19">
        <f>C20/C33</f>
        <v>1.6984549295274611</v>
      </c>
      <c r="D47" s="19">
        <f t="shared" ref="D47:G47" si="8">D20/D33</f>
        <v>1.7021158216134751</v>
      </c>
      <c r="E47" s="19">
        <f t="shared" si="8"/>
        <v>1.7799049656895862</v>
      </c>
      <c r="F47" s="19">
        <f t="shared" si="8"/>
        <v>1.5144864241733607</v>
      </c>
      <c r="G47" s="19">
        <f t="shared" si="8"/>
        <v>1.7659892691058359</v>
      </c>
    </row>
    <row r="48" spans="2:7" x14ac:dyDescent="0.2">
      <c r="B48" s="18" t="s">
        <v>68</v>
      </c>
      <c r="C48" s="23">
        <f>'P&amp;L Input'!C11/ABS('P&amp;L Input'!C13)</f>
        <v>8.8649763343327201</v>
      </c>
      <c r="D48" s="23">
        <f>'P&amp;L Input'!D11/ABS('P&amp;L Input'!D13)</f>
        <v>4.4939479941704379</v>
      </c>
      <c r="E48" s="23">
        <f>'P&amp;L Input'!E11/ABS('P&amp;L Input'!E13)</f>
        <v>2.3612756542600062</v>
      </c>
      <c r="F48" s="23">
        <f>'P&amp;L Input'!F11/ABS('P&amp;L Input'!F13)</f>
        <v>1.6450716051286665</v>
      </c>
      <c r="G48" s="23">
        <f>'P&amp;L Input'!G11/ABS('P&amp;L Input'!G13)</f>
        <v>5.0220680276753606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AB99-F6B6-4633-8853-DEA385AEEE1F}">
  <dimension ref="B1:F34"/>
  <sheetViews>
    <sheetView workbookViewId="0">
      <selection activeCell="J20" sqref="J20"/>
    </sheetView>
  </sheetViews>
  <sheetFormatPr defaultRowHeight="11.4" x14ac:dyDescent="0.2"/>
  <cols>
    <col min="1" max="1" width="2" style="1" customWidth="1"/>
    <col min="2" max="2" width="11.6640625" style="1" customWidth="1"/>
    <col min="3" max="3" width="17.5546875" style="1" customWidth="1"/>
    <col min="4" max="4" width="15.44140625" style="1" customWidth="1"/>
    <col min="5" max="5" width="13" style="1" customWidth="1"/>
    <col min="6" max="6" width="13.109375" style="1" customWidth="1"/>
    <col min="7" max="8" width="8.88671875" style="1" customWidth="1"/>
    <col min="9" max="9" width="10.88671875" style="1" customWidth="1"/>
    <col min="10" max="10" width="15.77734375" style="1" customWidth="1"/>
    <col min="11" max="11" width="16" style="1" customWidth="1"/>
    <col min="12" max="16384" width="8.88671875" style="1"/>
  </cols>
  <sheetData>
    <row r="1" spans="2:6" ht="15.6" x14ac:dyDescent="0.3">
      <c r="B1" s="3" t="s">
        <v>69</v>
      </c>
    </row>
    <row r="3" spans="2:6" ht="12" x14ac:dyDescent="0.25">
      <c r="B3" s="2" t="s">
        <v>70</v>
      </c>
    </row>
    <row r="4" spans="2:6" ht="24" x14ac:dyDescent="0.25">
      <c r="B4" s="24" t="s">
        <v>71</v>
      </c>
      <c r="C4" s="24" t="s">
        <v>72</v>
      </c>
      <c r="D4" s="24" t="s">
        <v>74</v>
      </c>
      <c r="E4" s="24" t="s">
        <v>73</v>
      </c>
      <c r="F4" s="24" t="s">
        <v>75</v>
      </c>
    </row>
    <row r="5" spans="2:6" x14ac:dyDescent="0.2">
      <c r="B5" s="1">
        <v>2021</v>
      </c>
      <c r="C5" s="8">
        <f>'P&amp;L Input'!C$4</f>
        <v>1383637</v>
      </c>
      <c r="D5" s="8">
        <f>'P&amp;L Input'!C$18</f>
        <v>364439</v>
      </c>
    </row>
    <row r="6" spans="2:6" x14ac:dyDescent="0.2">
      <c r="B6" s="1">
        <v>2022</v>
      </c>
      <c r="C6" s="8">
        <f>'P&amp;L Input'!D$4</f>
        <v>1618323</v>
      </c>
      <c r="D6" s="8">
        <f>'P&amp;L Input'!D$18</f>
        <v>382311</v>
      </c>
      <c r="E6" s="25">
        <f>(C6-C5)/C5</f>
        <v>0.16961529649756402</v>
      </c>
      <c r="F6" s="25">
        <f>(D6-D5)/D5</f>
        <v>4.9039756996369761E-2</v>
      </c>
    </row>
    <row r="7" spans="2:6" x14ac:dyDescent="0.2">
      <c r="B7" s="1">
        <v>2023</v>
      </c>
      <c r="C7" s="8">
        <f>'P&amp;L Input'!E$4</f>
        <v>2208090</v>
      </c>
      <c r="D7" s="8">
        <f>'P&amp;L Input'!E$18</f>
        <v>455583</v>
      </c>
      <c r="E7" s="25">
        <f t="shared" ref="E7:E9" si="0">(C7-C6)/C6</f>
        <v>0.36443095723165275</v>
      </c>
      <c r="F7" s="25">
        <f t="shared" ref="F7:F9" si="1">(D7-D6)/D6</f>
        <v>0.19165548467085697</v>
      </c>
    </row>
    <row r="8" spans="2:6" x14ac:dyDescent="0.2">
      <c r="B8" s="1">
        <v>2024</v>
      </c>
      <c r="C8" s="8">
        <f>'P&amp;L Input'!F$4</f>
        <v>3580550</v>
      </c>
      <c r="D8" s="8">
        <f>'P&amp;L Input'!F$18</f>
        <v>503247</v>
      </c>
      <c r="E8" s="25">
        <f t="shared" si="0"/>
        <v>0.62155980960920976</v>
      </c>
      <c r="F8" s="25">
        <f t="shared" si="1"/>
        <v>0.10462198984597758</v>
      </c>
    </row>
    <row r="9" spans="2:6" x14ac:dyDescent="0.2">
      <c r="B9" s="1">
        <v>2025</v>
      </c>
      <c r="C9" s="8">
        <f>'P&amp;L Input'!G$4</f>
        <v>4306704</v>
      </c>
      <c r="D9" s="8">
        <f>'P&amp;L Input'!G$18</f>
        <v>1014921</v>
      </c>
      <c r="E9" s="25">
        <f t="shared" si="0"/>
        <v>0.20280515563251456</v>
      </c>
      <c r="F9" s="25">
        <f t="shared" si="1"/>
        <v>1.0167452563055517</v>
      </c>
    </row>
    <row r="11" spans="2:6" ht="28.2" customHeight="1" x14ac:dyDescent="0.25">
      <c r="B11" s="35" t="s">
        <v>76</v>
      </c>
      <c r="C11" s="35"/>
      <c r="D11" s="26">
        <f>AVERAGE(E6:E9)</f>
        <v>0.3396028047427353</v>
      </c>
    </row>
    <row r="12" spans="2:6" ht="29.4" customHeight="1" x14ac:dyDescent="0.25">
      <c r="B12" s="35" t="s">
        <v>77</v>
      </c>
      <c r="C12" s="35"/>
      <c r="D12" s="26">
        <f>AVERAGE(F6:F9)</f>
        <v>0.34051562195468899</v>
      </c>
    </row>
    <row r="14" spans="2:6" ht="12" x14ac:dyDescent="0.25">
      <c r="B14" s="2" t="s">
        <v>78</v>
      </c>
    </row>
    <row r="15" spans="2:6" ht="40.799999999999997" customHeight="1" x14ac:dyDescent="0.25">
      <c r="B15" s="24" t="s">
        <v>71</v>
      </c>
      <c r="C15" s="24" t="s">
        <v>79</v>
      </c>
      <c r="D15" s="24" t="s">
        <v>80</v>
      </c>
      <c r="E15" s="24" t="s">
        <v>81</v>
      </c>
      <c r="F15" s="24" t="s">
        <v>82</v>
      </c>
    </row>
    <row r="16" spans="2:6" x14ac:dyDescent="0.2">
      <c r="B16" s="1">
        <v>2026</v>
      </c>
      <c r="C16" s="8">
        <f>_xlfn.FORECAST.LINEAR(B16,$C$5:$C$9,$B$5:$B$9)</f>
        <v>4961969.0999999046</v>
      </c>
      <c r="D16" s="8">
        <f>C9*(1+$D$11)</f>
        <v>5769272.7575967573</v>
      </c>
      <c r="E16" s="8">
        <f>AVERAGE(C16,D16)</f>
        <v>5365620.9287983309</v>
      </c>
      <c r="F16" s="8">
        <f>D9*(1+$D$12)</f>
        <v>1360517.4555498748</v>
      </c>
    </row>
    <row r="17" spans="2:6" x14ac:dyDescent="0.2">
      <c r="B17" s="1">
        <v>2027</v>
      </c>
      <c r="C17" s="8">
        <f>_xlfn.FORECAST.LINEAR(B17,$C$5:$C$9,$B$5:$B$9)</f>
        <v>5742805.2000000477</v>
      </c>
      <c r="D17" s="8">
        <f>C16*(1+$D$11)</f>
        <v>6647067.7234066585</v>
      </c>
      <c r="E17" s="8">
        <f>AVERAGE(C17,D17)</f>
        <v>6194936.4617033526</v>
      </c>
      <c r="F17" s="8">
        <f>F16*(1+$D$12)</f>
        <v>1823794.9031066513</v>
      </c>
    </row>
    <row r="19" spans="2:6" ht="12" x14ac:dyDescent="0.25">
      <c r="B19" s="34" t="s">
        <v>92</v>
      </c>
      <c r="C19" s="27"/>
      <c r="D19" s="28"/>
    </row>
    <row r="20" spans="2:6" x14ac:dyDescent="0.2">
      <c r="B20" s="29" t="s">
        <v>93</v>
      </c>
      <c r="D20" s="30"/>
    </row>
    <row r="21" spans="2:6" x14ac:dyDescent="0.2">
      <c r="B21" s="29" t="s">
        <v>83</v>
      </c>
      <c r="D21" s="30"/>
    </row>
    <row r="22" spans="2:6" x14ac:dyDescent="0.2">
      <c r="B22" s="29" t="s">
        <v>84</v>
      </c>
      <c r="D22" s="30"/>
    </row>
    <row r="23" spans="2:6" x14ac:dyDescent="0.2">
      <c r="B23" s="29" t="s">
        <v>94</v>
      </c>
      <c r="D23" s="30"/>
    </row>
    <row r="24" spans="2:6" x14ac:dyDescent="0.2">
      <c r="B24" s="29" t="s">
        <v>85</v>
      </c>
      <c r="D24" s="30"/>
    </row>
    <row r="25" spans="2:6" x14ac:dyDescent="0.2">
      <c r="B25" s="29" t="s">
        <v>86</v>
      </c>
      <c r="D25" s="30"/>
    </row>
    <row r="26" spans="2:6" x14ac:dyDescent="0.2">
      <c r="B26" s="29" t="s">
        <v>95</v>
      </c>
      <c r="D26" s="30"/>
    </row>
    <row r="27" spans="2:6" x14ac:dyDescent="0.2">
      <c r="B27" s="29" t="s">
        <v>87</v>
      </c>
      <c r="D27" s="30"/>
    </row>
    <row r="28" spans="2:6" x14ac:dyDescent="0.2">
      <c r="B28" s="29" t="s">
        <v>96</v>
      </c>
      <c r="D28" s="30"/>
    </row>
    <row r="29" spans="2:6" x14ac:dyDescent="0.2">
      <c r="B29" s="29" t="s">
        <v>88</v>
      </c>
      <c r="D29" s="30"/>
    </row>
    <row r="30" spans="2:6" x14ac:dyDescent="0.2">
      <c r="B30" s="29" t="s">
        <v>89</v>
      </c>
      <c r="D30" s="30"/>
    </row>
    <row r="31" spans="2:6" x14ac:dyDescent="0.2">
      <c r="B31" s="29" t="s">
        <v>90</v>
      </c>
      <c r="D31" s="30"/>
    </row>
    <row r="32" spans="2:6" x14ac:dyDescent="0.2">
      <c r="B32" s="29" t="s">
        <v>97</v>
      </c>
      <c r="D32" s="30"/>
    </row>
    <row r="33" spans="2:4" x14ac:dyDescent="0.2">
      <c r="B33" s="29" t="s">
        <v>91</v>
      </c>
      <c r="D33" s="30"/>
    </row>
    <row r="34" spans="2:4" x14ac:dyDescent="0.2">
      <c r="B34" s="31" t="s">
        <v>98</v>
      </c>
      <c r="C34" s="32"/>
      <c r="D34" s="33"/>
    </row>
  </sheetData>
  <mergeCells count="2">
    <mergeCell ref="B11:C11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9D5B-DCE2-4DC0-A438-3A65F0D6FC22}">
  <dimension ref="B1:AG62"/>
  <sheetViews>
    <sheetView showGridLines="0" showRowColHeaders="0" tabSelected="1" zoomScaleNormal="100" zoomScalePageLayoutView="85" workbookViewId="0"/>
  </sheetViews>
  <sheetFormatPr defaultRowHeight="11.4" x14ac:dyDescent="0.2"/>
  <cols>
    <col min="1" max="1" width="2.77734375" style="38" customWidth="1"/>
    <col min="2" max="4" width="19.109375" style="38" customWidth="1"/>
    <col min="5" max="5" width="2.77734375" style="38" customWidth="1"/>
    <col min="6" max="8" width="19.109375" style="38" customWidth="1"/>
    <col min="9" max="9" width="2.77734375" style="38" customWidth="1"/>
    <col min="10" max="10" width="8.88671875" style="38"/>
    <col min="11" max="11" width="16.5546875" style="38" customWidth="1"/>
    <col min="12" max="12" width="10.33203125" style="38" customWidth="1"/>
    <col min="13" max="13" width="10.5546875" style="38" customWidth="1"/>
    <col min="14" max="14" width="10.44140625" style="38" customWidth="1"/>
    <col min="15" max="15" width="10.21875" style="38" customWidth="1"/>
    <col min="16" max="16" width="10.44140625" style="38" customWidth="1"/>
    <col min="17" max="17" width="12.5546875" style="38" customWidth="1"/>
    <col min="18" max="18" width="12.6640625" style="38" customWidth="1"/>
    <col min="19" max="24" width="8.88671875" style="38"/>
    <col min="25" max="25" width="4.5546875" style="38" customWidth="1"/>
    <col min="26" max="26" width="17.6640625" style="38" customWidth="1"/>
    <col min="27" max="27" width="12" style="38" customWidth="1"/>
    <col min="28" max="28" width="12.88671875" style="38" customWidth="1"/>
    <col min="29" max="29" width="11.21875" style="38" customWidth="1"/>
    <col min="30" max="30" width="11.88671875" style="38" customWidth="1"/>
    <col min="31" max="31" width="11.33203125" style="38" customWidth="1"/>
    <col min="32" max="32" width="12.6640625" style="38" customWidth="1"/>
    <col min="33" max="33" width="11.6640625" style="38" customWidth="1"/>
    <col min="34" max="16384" width="8.88671875" style="38"/>
  </cols>
  <sheetData>
    <row r="1" spans="2:8" ht="7.95" customHeight="1" x14ac:dyDescent="0.2"/>
    <row r="2" spans="2:8" ht="18" customHeight="1" x14ac:dyDescent="0.3">
      <c r="B2" s="40" t="s">
        <v>106</v>
      </c>
      <c r="C2" s="40"/>
      <c r="D2" s="40"/>
      <c r="E2" s="40"/>
      <c r="F2" s="40"/>
      <c r="G2" s="40"/>
      <c r="H2" s="40"/>
    </row>
    <row r="3" spans="2:8" ht="13.95" customHeight="1" x14ac:dyDescent="0.25">
      <c r="B3" s="41" t="s">
        <v>107</v>
      </c>
      <c r="C3" s="41"/>
      <c r="D3" s="41"/>
      <c r="E3" s="41"/>
      <c r="F3" s="41"/>
      <c r="G3" s="41"/>
      <c r="H3" s="41"/>
    </row>
    <row r="4" spans="2:8" ht="7.95" customHeight="1" x14ac:dyDescent="0.2"/>
    <row r="5" spans="2:8" ht="15" customHeight="1" x14ac:dyDescent="0.25">
      <c r="B5" s="39" t="s">
        <v>99</v>
      </c>
      <c r="F5" s="39" t="s">
        <v>103</v>
      </c>
    </row>
    <row r="28" spans="2:19" ht="12" x14ac:dyDescent="0.25">
      <c r="B28" s="39" t="s">
        <v>105</v>
      </c>
      <c r="F28" s="39" t="s">
        <v>108</v>
      </c>
      <c r="S28" s="42"/>
    </row>
    <row r="40" spans="2:33" x14ac:dyDescent="0.2">
      <c r="B40" s="54" t="s">
        <v>113</v>
      </c>
    </row>
    <row r="41" spans="2:33" x14ac:dyDescent="0.2">
      <c r="B41" s="54" t="s">
        <v>114</v>
      </c>
    </row>
    <row r="45" spans="2:33" ht="15.6" x14ac:dyDescent="0.3">
      <c r="Z45" s="47" t="s">
        <v>109</v>
      </c>
      <c r="AA45" s="48">
        <v>2021</v>
      </c>
      <c r="AB45" s="48">
        <v>2022</v>
      </c>
      <c r="AC45" s="48">
        <v>2023</v>
      </c>
      <c r="AD45" s="48">
        <v>2024</v>
      </c>
      <c r="AE45" s="48">
        <v>2025</v>
      </c>
      <c r="AF45" s="49">
        <v>2026</v>
      </c>
      <c r="AG45" s="49">
        <v>2027</v>
      </c>
    </row>
    <row r="46" spans="2:33" ht="13.2" x14ac:dyDescent="0.25">
      <c r="Z46" s="43" t="s">
        <v>72</v>
      </c>
      <c r="AA46" s="46">
        <f>'P&amp;L Input'!C4</f>
        <v>1383637</v>
      </c>
      <c r="AB46" s="46">
        <f>'P&amp;L Input'!D4</f>
        <v>1618323</v>
      </c>
      <c r="AC46" s="46">
        <f>'P&amp;L Input'!E4</f>
        <v>2208090</v>
      </c>
      <c r="AD46" s="46">
        <f>'P&amp;L Input'!F4</f>
        <v>3580550</v>
      </c>
      <c r="AE46" s="44">
        <f>'P&amp;L Input'!G4</f>
        <v>4306704</v>
      </c>
      <c r="AF46" s="45">
        <f>Forecast!E16</f>
        <v>5365620.9287983309</v>
      </c>
      <c r="AG46" s="45">
        <f>Forecast!E17</f>
        <v>6194936.4617033526</v>
      </c>
    </row>
    <row r="47" spans="2:33" ht="13.2" x14ac:dyDescent="0.25">
      <c r="Z47" s="43" t="s">
        <v>111</v>
      </c>
      <c r="AA47" s="46">
        <f>'P&amp;L Input'!C6</f>
        <v>832618</v>
      </c>
      <c r="AB47" s="46">
        <f>'P&amp;L Input'!D6</f>
        <v>955433</v>
      </c>
      <c r="AC47" s="46">
        <f>'P&amp;L Input'!E6</f>
        <v>1201812</v>
      </c>
      <c r="AD47" s="46">
        <f>'P&amp;L Input'!F6</f>
        <v>1934899</v>
      </c>
      <c r="AE47" s="44">
        <f>'P&amp;L Input'!G6</f>
        <v>2672274</v>
      </c>
      <c r="AF47" s="45" t="s">
        <v>112</v>
      </c>
      <c r="AG47" s="45" t="s">
        <v>112</v>
      </c>
    </row>
    <row r="48" spans="2:33" ht="19.2" customHeight="1" x14ac:dyDescent="0.25">
      <c r="Z48" s="43" t="s">
        <v>110</v>
      </c>
      <c r="AA48" s="46">
        <f>'P&amp;L Input'!C11</f>
        <v>582491</v>
      </c>
      <c r="AB48" s="46">
        <f>'P&amp;L Input'!D11</f>
        <v>585876</v>
      </c>
      <c r="AC48" s="46">
        <f>'P&amp;L Input'!E11</f>
        <v>734267</v>
      </c>
      <c r="AD48" s="46">
        <f>'P&amp;L Input'!F11</f>
        <v>1152042</v>
      </c>
      <c r="AE48" s="44">
        <f>'P&amp;L Input'!G11</f>
        <v>1765277</v>
      </c>
      <c r="AF48" s="45" t="s">
        <v>112</v>
      </c>
      <c r="AG48" s="45" t="s">
        <v>112</v>
      </c>
    </row>
    <row r="49" spans="26:33" ht="18" customHeight="1" x14ac:dyDescent="0.25">
      <c r="Z49" s="50" t="s">
        <v>74</v>
      </c>
      <c r="AA49" s="51">
        <f>'P&amp;L Input'!C18</f>
        <v>364439</v>
      </c>
      <c r="AB49" s="51">
        <f>'P&amp;L Input'!D18</f>
        <v>382311</v>
      </c>
      <c r="AC49" s="51">
        <f>'P&amp;L Input'!E18</f>
        <v>455583</v>
      </c>
      <c r="AD49" s="51">
        <f>'P&amp;L Input'!F18</f>
        <v>503247</v>
      </c>
      <c r="AE49" s="52">
        <f>'P&amp;L Input'!G18</f>
        <v>1014921</v>
      </c>
      <c r="AF49" s="53">
        <f>Forecast!F16</f>
        <v>1360517.4555498748</v>
      </c>
      <c r="AG49" s="53">
        <f>Forecast!F17</f>
        <v>1823794.9031066513</v>
      </c>
    </row>
    <row r="50" spans="26:33" ht="18" customHeight="1" x14ac:dyDescent="0.2"/>
    <row r="51" spans="26:33" ht="18" customHeight="1" x14ac:dyDescent="0.2"/>
    <row r="52" spans="26:33" ht="18" customHeight="1" x14ac:dyDescent="0.2"/>
    <row r="54" spans="26:33" ht="12" x14ac:dyDescent="0.25">
      <c r="Z54" s="2" t="s">
        <v>100</v>
      </c>
      <c r="AA54" s="1"/>
      <c r="AB54" s="1"/>
    </row>
    <row r="55" spans="26:33" ht="36" x14ac:dyDescent="0.25">
      <c r="Z55" s="36" t="s">
        <v>71</v>
      </c>
      <c r="AA55" s="37" t="s">
        <v>101</v>
      </c>
      <c r="AB55" s="24" t="s">
        <v>102</v>
      </c>
    </row>
    <row r="56" spans="26:33" x14ac:dyDescent="0.2">
      <c r="Z56" s="1">
        <v>2021</v>
      </c>
      <c r="AA56" s="55">
        <f>Forecast!C5/1000000</f>
        <v>1.383637</v>
      </c>
      <c r="AB56" s="1"/>
    </row>
    <row r="57" spans="26:33" x14ac:dyDescent="0.2">
      <c r="Z57" s="1">
        <v>2022</v>
      </c>
      <c r="AA57" s="55">
        <f>Forecast!C6/1000000</f>
        <v>1.618323</v>
      </c>
      <c r="AB57" s="1"/>
    </row>
    <row r="58" spans="26:33" x14ac:dyDescent="0.2">
      <c r="Z58" s="1">
        <v>2023</v>
      </c>
      <c r="AA58" s="55">
        <f>Forecast!C7/1000000</f>
        <v>2.2080899999999999</v>
      </c>
      <c r="AB58" s="1"/>
    </row>
    <row r="59" spans="26:33" x14ac:dyDescent="0.2">
      <c r="Z59" s="1">
        <v>2024</v>
      </c>
      <c r="AA59" s="55">
        <f>Forecast!C8/1000000</f>
        <v>3.5805500000000001</v>
      </c>
      <c r="AB59" s="1"/>
    </row>
    <row r="60" spans="26:33" x14ac:dyDescent="0.2">
      <c r="Z60" s="1">
        <v>2025</v>
      </c>
      <c r="AA60" s="55">
        <f>Forecast!C9/1000000</f>
        <v>4.3067039999999999</v>
      </c>
      <c r="AB60" s="55">
        <f>AA60</f>
        <v>4.3067039999999999</v>
      </c>
    </row>
    <row r="61" spans="26:33" x14ac:dyDescent="0.2">
      <c r="Z61" s="1">
        <v>2026</v>
      </c>
      <c r="AA61" s="1"/>
      <c r="AB61" s="55">
        <f>Forecast!E16/1000000</f>
        <v>5.3656209287983305</v>
      </c>
    </row>
    <row r="62" spans="26:33" x14ac:dyDescent="0.2">
      <c r="Z62" s="1">
        <v>2027</v>
      </c>
      <c r="AA62" s="1"/>
      <c r="AB62" s="55">
        <f>Forecast!E17/1000000</f>
        <v>6.1949364617033522</v>
      </c>
    </row>
  </sheetData>
  <mergeCells count="2">
    <mergeCell ref="B2:H2"/>
    <mergeCell ref="B3:H3"/>
  </mergeCells>
  <pageMargins left="0.7" right="0.7" top="0.75" bottom="0.75" header="0.3" footer="0.3"/>
  <pageSetup paperSize="9" orientation="landscape" r:id="rId1"/>
  <headerFooter>
    <oddFooter xml:space="preserve">&amp;CData source: Dangote Cement Plc Group Annual Reports 2021–2025 | Nigerian Exchange Group (NGX)  |  Analyst: Nwankwo Emmanuel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 Input</vt:lpstr>
      <vt:lpstr>Balance Sheet Input</vt:lpstr>
      <vt:lpstr>Forecast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EmmaVerse</dc:creator>
  <cp:lastModifiedBy>EmmaVerse</cp:lastModifiedBy>
  <dcterms:created xsi:type="dcterms:W3CDTF">2026-05-12T08:25:33Z</dcterms:created>
  <dcterms:modified xsi:type="dcterms:W3CDTF">2026-05-14T07:55:40Z</dcterms:modified>
</cp:coreProperties>
</file>